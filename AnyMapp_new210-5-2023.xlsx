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mlaf\Desktop\"/>
    </mc:Choice>
  </mc:AlternateContent>
  <bookViews>
    <workbookView xWindow="0" yWindow="0" windowWidth="19200" windowHeight="6540"/>
  </bookViews>
  <sheets>
    <sheet name="Document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76" i="2" l="1"/>
  <c r="L1075" i="2"/>
  <c r="L1074" i="2"/>
  <c r="L1073" i="2"/>
  <c r="L1072" i="2"/>
  <c r="L1071" i="2"/>
  <c r="L1070" i="2"/>
  <c r="L1069" i="2"/>
  <c r="L1068" i="2"/>
  <c r="L1067" i="2"/>
  <c r="L1066" i="2"/>
  <c r="L1065" i="2"/>
  <c r="L1064" i="2"/>
  <c r="L1063" i="2"/>
  <c r="L1062" i="2"/>
  <c r="L1061" i="2"/>
  <c r="L1060" i="2"/>
  <c r="L1059" i="2"/>
  <c r="L1058" i="2"/>
  <c r="L1057" i="2"/>
  <c r="L1056" i="2"/>
  <c r="L1055" i="2"/>
  <c r="L1054" i="2"/>
  <c r="L1053" i="2"/>
  <c r="L1052" i="2"/>
  <c r="L1051" i="2"/>
  <c r="L1050" i="2"/>
  <c r="L1049" i="2"/>
  <c r="L1048" i="2"/>
  <c r="L1047" i="2"/>
  <c r="L1046" i="2"/>
  <c r="L1045" i="2"/>
  <c r="L1044" i="2"/>
  <c r="L1043" i="2"/>
  <c r="L1042" i="2"/>
  <c r="L1041" i="2"/>
  <c r="L1040" i="2"/>
  <c r="L1039" i="2"/>
  <c r="L1038" i="2"/>
  <c r="L1037" i="2"/>
  <c r="L1036" i="2"/>
  <c r="L1035" i="2"/>
  <c r="L1034" i="2"/>
  <c r="L1033" i="2"/>
  <c r="L1032" i="2"/>
  <c r="L1031" i="2"/>
  <c r="L1030" i="2"/>
  <c r="L1029" i="2"/>
  <c r="L1028" i="2"/>
  <c r="L1027" i="2"/>
  <c r="L1026" i="2"/>
  <c r="L1025" i="2"/>
  <c r="L1024" i="2"/>
  <c r="L1023" i="2"/>
  <c r="L1022" i="2"/>
  <c r="L1021" i="2"/>
  <c r="L1020" i="2"/>
  <c r="L1019" i="2"/>
  <c r="L1018" i="2"/>
  <c r="L1017" i="2"/>
  <c r="L1016" i="2"/>
  <c r="L1015" i="2"/>
  <c r="L1014" i="2"/>
  <c r="L1013" i="2"/>
  <c r="L1012" i="2"/>
  <c r="L1011" i="2"/>
  <c r="L1010" i="2"/>
  <c r="L1009" i="2"/>
  <c r="L1008" i="2"/>
  <c r="L1007" i="2"/>
  <c r="L1006" i="2"/>
  <c r="L1005" i="2"/>
  <c r="L1004" i="2"/>
  <c r="L1003" i="2"/>
  <c r="L1002" i="2"/>
  <c r="L1001" i="2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M491" i="2" s="1"/>
  <c r="L490" i="2"/>
  <c r="L489" i="2"/>
  <c r="L488" i="2"/>
  <c r="L487" i="2"/>
  <c r="L486" i="2"/>
  <c r="M486" i="2" s="1"/>
  <c r="L485" i="2"/>
  <c r="L484" i="2"/>
  <c r="L483" i="2"/>
  <c r="L482" i="2"/>
  <c r="M482" i="2" s="1"/>
  <c r="L481" i="2"/>
  <c r="L480" i="2"/>
  <c r="L479" i="2"/>
  <c r="L478" i="2"/>
  <c r="L477" i="2"/>
  <c r="L476" i="2"/>
  <c r="L475" i="2"/>
  <c r="M475" i="2" s="1"/>
  <c r="L474" i="2"/>
  <c r="M474" i="2" s="1"/>
  <c r="L473" i="2"/>
  <c r="L472" i="2"/>
  <c r="L471" i="2"/>
  <c r="L470" i="2"/>
  <c r="L469" i="2"/>
  <c r="L468" i="2"/>
  <c r="L467" i="2"/>
  <c r="M467" i="2" s="1"/>
  <c r="L466" i="2"/>
  <c r="M466" i="2" s="1"/>
  <c r="L465" i="2"/>
  <c r="L464" i="2"/>
  <c r="L463" i="2"/>
  <c r="M463" i="2" s="1"/>
  <c r="L462" i="2"/>
  <c r="L461" i="2"/>
  <c r="L460" i="2"/>
  <c r="L459" i="2"/>
  <c r="M459" i="2" s="1"/>
  <c r="L458" i="2"/>
  <c r="M458" i="2" s="1"/>
  <c r="L457" i="2"/>
  <c r="M457" i="2" s="1"/>
  <c r="L456" i="2"/>
  <c r="L455" i="2"/>
  <c r="L454" i="2"/>
  <c r="L453" i="2"/>
  <c r="L452" i="2"/>
  <c r="L451" i="2"/>
  <c r="M451" i="2" s="1"/>
  <c r="L450" i="2"/>
  <c r="M450" i="2" s="1"/>
  <c r="L449" i="2"/>
  <c r="L448" i="2"/>
  <c r="L447" i="2"/>
  <c r="L446" i="2"/>
  <c r="L445" i="2"/>
  <c r="L444" i="2"/>
  <c r="L443" i="2"/>
  <c r="M443" i="2" s="1"/>
  <c r="L442" i="2"/>
  <c r="M442" i="2" s="1"/>
  <c r="L441" i="2"/>
  <c r="L440" i="2"/>
  <c r="L439" i="2"/>
  <c r="L438" i="2"/>
  <c r="L437" i="2"/>
  <c r="L436" i="2"/>
  <c r="L435" i="2"/>
  <c r="M435" i="2" s="1"/>
  <c r="L434" i="2"/>
  <c r="M434" i="2" s="1"/>
  <c r="L433" i="2"/>
  <c r="L432" i="2"/>
  <c r="L431" i="2"/>
  <c r="L430" i="2"/>
  <c r="L429" i="2"/>
  <c r="L428" i="2"/>
  <c r="L427" i="2"/>
  <c r="M427" i="2" s="1"/>
  <c r="L426" i="2"/>
  <c r="M426" i="2" s="1"/>
  <c r="L425" i="2"/>
  <c r="L424" i="2"/>
  <c r="L423" i="2"/>
  <c r="L422" i="2"/>
  <c r="L421" i="2"/>
  <c r="L420" i="2"/>
  <c r="L419" i="2"/>
  <c r="M419" i="2" s="1"/>
  <c r="L418" i="2"/>
  <c r="M418" i="2" s="1"/>
  <c r="L417" i="2"/>
  <c r="M417" i="2" s="1"/>
  <c r="L416" i="2"/>
  <c r="L415" i="2"/>
  <c r="M415" i="2" s="1"/>
  <c r="L414" i="2"/>
  <c r="L413" i="2"/>
  <c r="L412" i="2"/>
  <c r="L411" i="2"/>
  <c r="M411" i="2" s="1"/>
  <c r="L410" i="2"/>
  <c r="M410" i="2" s="1"/>
  <c r="L409" i="2"/>
  <c r="L408" i="2"/>
  <c r="L407" i="2"/>
  <c r="L406" i="2"/>
  <c r="L405" i="2"/>
  <c r="L404" i="2"/>
  <c r="L403" i="2"/>
  <c r="M403" i="2" s="1"/>
  <c r="L402" i="2"/>
  <c r="M402" i="2" s="1"/>
  <c r="L401" i="2"/>
  <c r="M401" i="2" s="1"/>
  <c r="L400" i="2"/>
  <c r="L399" i="2"/>
  <c r="L398" i="2"/>
  <c r="L397" i="2"/>
  <c r="L396" i="2"/>
  <c r="M396" i="2" s="1"/>
  <c r="L395" i="2"/>
  <c r="M395" i="2" s="1"/>
  <c r="L394" i="2"/>
  <c r="M394" i="2" s="1"/>
  <c r="L393" i="2"/>
  <c r="L392" i="2"/>
  <c r="L391" i="2"/>
  <c r="L390" i="2"/>
  <c r="L389" i="2"/>
  <c r="L388" i="2"/>
  <c r="L387" i="2"/>
  <c r="M387" i="2" s="1"/>
  <c r="L386" i="2"/>
  <c r="M386" i="2" s="1"/>
  <c r="L385" i="2"/>
  <c r="M385" i="2" s="1"/>
  <c r="L384" i="2"/>
  <c r="L383" i="2"/>
  <c r="L382" i="2"/>
  <c r="L381" i="2"/>
  <c r="L380" i="2"/>
  <c r="L379" i="2"/>
  <c r="M379" i="2" s="1"/>
  <c r="L378" i="2"/>
  <c r="M378" i="2" s="1"/>
  <c r="L377" i="2"/>
  <c r="M377" i="2" s="1"/>
  <c r="L376" i="2"/>
  <c r="L375" i="2"/>
  <c r="M375" i="2" s="1"/>
  <c r="L374" i="2"/>
  <c r="L373" i="2"/>
  <c r="L372" i="2"/>
  <c r="L371" i="2"/>
  <c r="M371" i="2" s="1"/>
  <c r="L370" i="2"/>
  <c r="M370" i="2" s="1"/>
  <c r="L369" i="2"/>
  <c r="L368" i="2"/>
  <c r="L367" i="2"/>
  <c r="L366" i="2"/>
  <c r="L365" i="2"/>
  <c r="L364" i="2"/>
  <c r="L363" i="2"/>
  <c r="M363" i="2" s="1"/>
  <c r="L362" i="2"/>
  <c r="M362" i="2" s="1"/>
  <c r="L361" i="2"/>
  <c r="L360" i="2"/>
  <c r="L359" i="2"/>
  <c r="L358" i="2"/>
  <c r="L357" i="2"/>
  <c r="M357" i="2" s="1"/>
  <c r="L356" i="2"/>
  <c r="M356" i="2" s="1"/>
  <c r="L355" i="2"/>
  <c r="M355" i="2" s="1"/>
  <c r="L354" i="2"/>
  <c r="M354" i="2" s="1"/>
  <c r="L353" i="2"/>
  <c r="L352" i="2"/>
  <c r="M352" i="2" s="1"/>
  <c r="L351" i="2"/>
  <c r="L350" i="2"/>
  <c r="L349" i="2"/>
  <c r="L348" i="2"/>
  <c r="L347" i="2"/>
  <c r="M347" i="2" s="1"/>
  <c r="L346" i="2"/>
  <c r="M346" i="2" s="1"/>
  <c r="L345" i="2"/>
  <c r="L344" i="2"/>
  <c r="L343" i="2"/>
  <c r="L342" i="2"/>
  <c r="L341" i="2"/>
  <c r="L340" i="2"/>
  <c r="L339" i="2"/>
  <c r="M339" i="2" s="1"/>
  <c r="L338" i="2"/>
  <c r="M338" i="2" s="1"/>
  <c r="L337" i="2"/>
  <c r="L336" i="2"/>
  <c r="L335" i="2"/>
  <c r="L334" i="2"/>
  <c r="L333" i="2"/>
  <c r="L332" i="2"/>
  <c r="M332" i="2" s="1"/>
  <c r="L331" i="2"/>
  <c r="M331" i="2" s="1"/>
  <c r="L330" i="2"/>
  <c r="M330" i="2" s="1"/>
  <c r="L329" i="2"/>
  <c r="L328" i="2"/>
  <c r="L327" i="2"/>
  <c r="L326" i="2"/>
  <c r="L325" i="2"/>
  <c r="L324" i="2"/>
  <c r="L323" i="2"/>
  <c r="M323" i="2" s="1"/>
  <c r="L322" i="2"/>
  <c r="M322" i="2" s="1"/>
  <c r="L321" i="2"/>
  <c r="L320" i="2"/>
  <c r="L319" i="2"/>
  <c r="L318" i="2"/>
  <c r="L317" i="2"/>
  <c r="L316" i="2"/>
  <c r="M316" i="2" s="1"/>
  <c r="L315" i="2"/>
  <c r="M315" i="2" s="1"/>
  <c r="L314" i="2"/>
  <c r="M314" i="2" s="1"/>
  <c r="L313" i="2"/>
  <c r="L312" i="2"/>
  <c r="L311" i="2"/>
  <c r="L310" i="2"/>
  <c r="L309" i="2"/>
  <c r="L308" i="2"/>
  <c r="L307" i="2"/>
  <c r="M307" i="2" s="1"/>
  <c r="L306" i="2"/>
  <c r="M306" i="2" s="1"/>
  <c r="L305" i="2"/>
  <c r="L304" i="2"/>
  <c r="L303" i="2"/>
  <c r="L302" i="2"/>
  <c r="L301" i="2"/>
  <c r="L300" i="2"/>
  <c r="L299" i="2"/>
  <c r="M299" i="2" s="1"/>
  <c r="L298" i="2"/>
  <c r="M298" i="2" s="1"/>
  <c r="L297" i="2"/>
  <c r="L296" i="2"/>
  <c r="L295" i="2"/>
  <c r="L294" i="2"/>
  <c r="L293" i="2"/>
  <c r="L292" i="2"/>
  <c r="L291" i="2"/>
  <c r="M291" i="2" s="1"/>
  <c r="L290" i="2"/>
  <c r="M290" i="2" s="1"/>
  <c r="L289" i="2"/>
  <c r="M289" i="2" s="1"/>
  <c r="L288" i="2"/>
  <c r="L287" i="2"/>
  <c r="L286" i="2"/>
  <c r="L285" i="2"/>
  <c r="L284" i="2"/>
  <c r="L283" i="2"/>
  <c r="M283" i="2" s="1"/>
  <c r="L282" i="2"/>
  <c r="M282" i="2" s="1"/>
  <c r="L281" i="2"/>
  <c r="L280" i="2"/>
  <c r="L279" i="2"/>
  <c r="L278" i="2"/>
  <c r="L277" i="2"/>
  <c r="M277" i="2" s="1"/>
  <c r="L276" i="2"/>
  <c r="L275" i="2"/>
  <c r="M275" i="2" s="1"/>
  <c r="L274" i="2"/>
  <c r="M274" i="2" s="1"/>
  <c r="L273" i="2"/>
  <c r="L272" i="2"/>
  <c r="L271" i="2"/>
  <c r="L270" i="2"/>
  <c r="L269" i="2"/>
  <c r="L268" i="2"/>
  <c r="L267" i="2"/>
  <c r="M267" i="2" s="1"/>
  <c r="L266" i="2"/>
  <c r="M266" i="2" s="1"/>
  <c r="L265" i="2"/>
  <c r="L264" i="2"/>
  <c r="L263" i="2"/>
  <c r="L262" i="2"/>
  <c r="L261" i="2"/>
  <c r="L260" i="2"/>
  <c r="M260" i="2" s="1"/>
  <c r="L259" i="2"/>
  <c r="M259" i="2" s="1"/>
  <c r="L258" i="2"/>
  <c r="M258" i="2" s="1"/>
  <c r="L257" i="2"/>
  <c r="L256" i="2"/>
  <c r="L255" i="2"/>
  <c r="L254" i="2"/>
  <c r="L253" i="2"/>
  <c r="L252" i="2"/>
  <c r="L251" i="2"/>
  <c r="M251" i="2" s="1"/>
  <c r="L250" i="2"/>
  <c r="M250" i="2" s="1"/>
  <c r="L249" i="2"/>
  <c r="L248" i="2"/>
  <c r="L247" i="2"/>
  <c r="M247" i="2" s="1"/>
  <c r="L246" i="2"/>
  <c r="L245" i="2"/>
  <c r="L244" i="2"/>
  <c r="L243" i="2"/>
  <c r="M243" i="2" s="1"/>
  <c r="L242" i="2"/>
  <c r="M242" i="2" s="1"/>
  <c r="L241" i="2"/>
  <c r="L240" i="2"/>
  <c r="L239" i="2"/>
  <c r="L238" i="2"/>
  <c r="M238" i="2" s="1"/>
  <c r="L237" i="2"/>
  <c r="L236" i="2"/>
  <c r="L235" i="2"/>
  <c r="M235" i="2" s="1"/>
  <c r="L234" i="2"/>
  <c r="M234" i="2" s="1"/>
  <c r="L233" i="2"/>
  <c r="L232" i="2"/>
  <c r="L231" i="2"/>
  <c r="L230" i="2"/>
  <c r="L229" i="2"/>
  <c r="L228" i="2"/>
  <c r="L227" i="2"/>
  <c r="M227" i="2" s="1"/>
  <c r="L226" i="2"/>
  <c r="M226" i="2" s="1"/>
  <c r="L225" i="2"/>
  <c r="L224" i="2"/>
  <c r="L223" i="2"/>
  <c r="L222" i="2"/>
  <c r="L221" i="2"/>
  <c r="L220" i="2"/>
  <c r="L219" i="2"/>
  <c r="M219" i="2" s="1"/>
  <c r="L218" i="2"/>
  <c r="M218" i="2" s="1"/>
  <c r="L217" i="2"/>
  <c r="L216" i="2"/>
  <c r="L215" i="2"/>
  <c r="L214" i="2"/>
  <c r="M214" i="2" s="1"/>
  <c r="L213" i="2"/>
  <c r="L212" i="2"/>
  <c r="L211" i="2"/>
  <c r="M211" i="2" s="1"/>
  <c r="L210" i="2"/>
  <c r="M210" i="2" s="1"/>
  <c r="L209" i="2"/>
  <c r="L208" i="2"/>
  <c r="L207" i="2"/>
  <c r="L206" i="2"/>
  <c r="L205" i="2"/>
  <c r="L204" i="2"/>
  <c r="L203" i="2"/>
  <c r="M203" i="2" s="1"/>
  <c r="L202" i="2"/>
  <c r="M202" i="2" s="1"/>
  <c r="L201" i="2"/>
  <c r="L200" i="2"/>
  <c r="L199" i="2"/>
  <c r="L198" i="2"/>
  <c r="L197" i="2"/>
  <c r="L196" i="2"/>
  <c r="L195" i="2"/>
  <c r="M195" i="2" s="1"/>
  <c r="L194" i="2"/>
  <c r="M194" i="2" s="1"/>
  <c r="L193" i="2"/>
  <c r="L192" i="2"/>
  <c r="L191" i="2"/>
  <c r="L190" i="2"/>
  <c r="L189" i="2"/>
  <c r="L188" i="2"/>
  <c r="L187" i="2"/>
  <c r="M187" i="2" s="1"/>
  <c r="L186" i="2"/>
  <c r="M186" i="2" s="1"/>
  <c r="L185" i="2"/>
  <c r="L184" i="2"/>
  <c r="L183" i="2"/>
  <c r="L182" i="2"/>
  <c r="L181" i="2"/>
  <c r="L180" i="2"/>
  <c r="L179" i="2"/>
  <c r="M179" i="2" s="1"/>
  <c r="L178" i="2"/>
  <c r="M178" i="2" s="1"/>
  <c r="L177" i="2"/>
  <c r="L176" i="2"/>
  <c r="L175" i="2"/>
  <c r="L174" i="2"/>
  <c r="L173" i="2"/>
  <c r="L172" i="2"/>
  <c r="L171" i="2"/>
  <c r="M171" i="2" s="1"/>
  <c r="L170" i="2"/>
  <c r="M170" i="2" s="1"/>
  <c r="L169" i="2"/>
  <c r="L168" i="2"/>
  <c r="L167" i="2"/>
  <c r="L166" i="2"/>
  <c r="L165" i="2"/>
  <c r="L164" i="2"/>
  <c r="L163" i="2"/>
  <c r="M163" i="2" s="1"/>
  <c r="L162" i="2"/>
  <c r="M162" i="2" s="1"/>
  <c r="L161" i="2"/>
  <c r="L160" i="2"/>
  <c r="L159" i="2"/>
  <c r="L158" i="2"/>
  <c r="L157" i="2"/>
  <c r="L156" i="2"/>
  <c r="L155" i="2"/>
  <c r="M155" i="2" s="1"/>
  <c r="L154" i="2"/>
  <c r="M154" i="2" s="1"/>
  <c r="L153" i="2"/>
  <c r="L152" i="2"/>
  <c r="L151" i="2"/>
  <c r="L150" i="2"/>
  <c r="L149" i="2"/>
  <c r="L148" i="2"/>
  <c r="L147" i="2"/>
  <c r="M147" i="2" s="1"/>
  <c r="L146" i="2"/>
  <c r="M146" i="2" s="1"/>
  <c r="L145" i="2"/>
  <c r="L144" i="2"/>
  <c r="L143" i="2"/>
  <c r="L142" i="2"/>
  <c r="L141" i="2"/>
  <c r="L140" i="2"/>
  <c r="L139" i="2"/>
  <c r="M139" i="2" s="1"/>
  <c r="L138" i="2"/>
  <c r="M138" i="2" s="1"/>
  <c r="L137" i="2"/>
  <c r="L136" i="2"/>
  <c r="L135" i="2"/>
  <c r="L134" i="2"/>
  <c r="L133" i="2"/>
  <c r="L132" i="2"/>
  <c r="L131" i="2"/>
  <c r="M131" i="2" s="1"/>
  <c r="L130" i="2"/>
  <c r="M130" i="2" s="1"/>
  <c r="L129" i="2"/>
  <c r="L128" i="2"/>
  <c r="L127" i="2"/>
  <c r="L126" i="2"/>
  <c r="L125" i="2"/>
  <c r="L124" i="2"/>
  <c r="M124" i="2" s="1"/>
  <c r="L123" i="2"/>
  <c r="M123" i="2" s="1"/>
  <c r="L122" i="2"/>
  <c r="M122" i="2" s="1"/>
  <c r="L121" i="2"/>
  <c r="M121" i="2" s="1"/>
  <c r="L120" i="2"/>
  <c r="L119" i="2"/>
  <c r="L118" i="2"/>
  <c r="L117" i="2"/>
  <c r="L116" i="2"/>
  <c r="L115" i="2"/>
  <c r="M115" i="2" s="1"/>
  <c r="L114" i="2"/>
  <c r="M114" i="2" s="1"/>
  <c r="L113" i="2"/>
  <c r="M113" i="2" s="1"/>
  <c r="L112" i="2"/>
  <c r="M112" i="2" s="1"/>
  <c r="L111" i="2"/>
  <c r="L110" i="2"/>
  <c r="L109" i="2"/>
  <c r="L108" i="2"/>
  <c r="L107" i="2"/>
  <c r="M107" i="2" s="1"/>
  <c r="L106" i="2"/>
  <c r="M106" i="2" s="1"/>
  <c r="L105" i="2"/>
  <c r="L104" i="2"/>
  <c r="L103" i="2"/>
  <c r="L102" i="2"/>
  <c r="L101" i="2"/>
  <c r="M101" i="2" s="1"/>
  <c r="L100" i="2"/>
  <c r="L99" i="2"/>
  <c r="M99" i="2" s="1"/>
  <c r="L98" i="2"/>
  <c r="M98" i="2" s="1"/>
  <c r="L97" i="2"/>
  <c r="L96" i="2"/>
  <c r="M96" i="2" s="1"/>
  <c r="L95" i="2"/>
  <c r="L94" i="2"/>
  <c r="L93" i="2"/>
  <c r="L92" i="2"/>
  <c r="M92" i="2" s="1"/>
  <c r="L91" i="2"/>
  <c r="M91" i="2" s="1"/>
  <c r="L90" i="2"/>
  <c r="M90" i="2" s="1"/>
  <c r="L89" i="2"/>
  <c r="L88" i="2"/>
  <c r="L87" i="2"/>
  <c r="L86" i="2"/>
  <c r="L85" i="2"/>
  <c r="L84" i="2"/>
  <c r="M84" i="2" s="1"/>
  <c r="L83" i="2"/>
  <c r="M83" i="2" s="1"/>
  <c r="L82" i="2"/>
  <c r="M82" i="2" s="1"/>
  <c r="L81" i="2"/>
  <c r="L80" i="2"/>
  <c r="L79" i="2"/>
  <c r="L78" i="2"/>
  <c r="L77" i="2"/>
  <c r="L76" i="2"/>
  <c r="L75" i="2"/>
  <c r="M75" i="2" s="1"/>
  <c r="L74" i="2"/>
  <c r="M74" i="2" s="1"/>
  <c r="L73" i="2"/>
  <c r="L72" i="2"/>
  <c r="L71" i="2"/>
  <c r="L70" i="2"/>
  <c r="L69" i="2"/>
  <c r="L68" i="2"/>
  <c r="L67" i="2"/>
  <c r="M67" i="2" s="1"/>
  <c r="L66" i="2"/>
  <c r="M66" i="2" s="1"/>
  <c r="L65" i="2"/>
  <c r="M65" i="2" s="1"/>
  <c r="L64" i="2"/>
  <c r="L63" i="2"/>
  <c r="L62" i="2"/>
  <c r="L61" i="2"/>
  <c r="L60" i="2"/>
  <c r="L59" i="2"/>
  <c r="M59" i="2" s="1"/>
  <c r="L58" i="2"/>
  <c r="M58" i="2" s="1"/>
  <c r="L57" i="2"/>
  <c r="L56" i="2"/>
  <c r="L55" i="2"/>
  <c r="L54" i="2"/>
  <c r="L53" i="2"/>
  <c r="L52" i="2"/>
  <c r="L51" i="2"/>
  <c r="M51" i="2" s="1"/>
  <c r="L50" i="2"/>
  <c r="M50" i="2" s="1"/>
  <c r="L49" i="2"/>
  <c r="L48" i="2"/>
  <c r="L47" i="2"/>
  <c r="L46" i="2"/>
  <c r="L45" i="2"/>
  <c r="L44" i="2"/>
  <c r="L43" i="2"/>
  <c r="M43" i="2" s="1"/>
  <c r="L42" i="2"/>
  <c r="M42" i="2" s="1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M492" i="2"/>
  <c r="M481" i="2"/>
  <c r="M220" i="2"/>
  <c r="M81" i="2"/>
  <c r="M2" i="2"/>
  <c r="Q1" i="2"/>
  <c r="M499" i="2" s="1"/>
  <c r="M38" i="2" l="1"/>
  <c r="M10" i="2"/>
  <c r="M18" i="2"/>
  <c r="M26" i="2"/>
  <c r="M34" i="2"/>
  <c r="M4" i="2"/>
  <c r="M29" i="2"/>
  <c r="M9" i="2"/>
  <c r="M3" i="2"/>
  <c r="M11" i="2"/>
  <c r="M19" i="2"/>
  <c r="M27" i="2"/>
  <c r="M35" i="2"/>
  <c r="M5" i="2"/>
  <c r="M13" i="2"/>
  <c r="M21" i="2"/>
  <c r="M37" i="2"/>
  <c r="M45" i="2"/>
  <c r="M53" i="2"/>
  <c r="M61" i="2"/>
  <c r="M69" i="2"/>
  <c r="M77" i="2"/>
  <c r="M85" i="2"/>
  <c r="M93" i="2"/>
  <c r="M109" i="2"/>
  <c r="M117" i="2"/>
  <c r="M125" i="2"/>
  <c r="M133" i="2"/>
  <c r="M141" i="2"/>
  <c r="M149" i="2"/>
  <c r="M157" i="2"/>
  <c r="M165" i="2"/>
  <c r="M173" i="2"/>
  <c r="M181" i="2"/>
  <c r="M189" i="2"/>
  <c r="M197" i="2"/>
  <c r="M205" i="2"/>
  <c r="M213" i="2"/>
  <c r="M221" i="2"/>
  <c r="M229" i="2"/>
  <c r="M237" i="2"/>
  <c r="M245" i="2"/>
  <c r="M253" i="2"/>
  <c r="M261" i="2"/>
  <c r="M269" i="2"/>
  <c r="M285" i="2"/>
  <c r="M293" i="2"/>
  <c r="M301" i="2"/>
  <c r="M309" i="2"/>
  <c r="M317" i="2"/>
  <c r="M325" i="2"/>
  <c r="M333" i="2"/>
  <c r="M341" i="2"/>
  <c r="M349" i="2"/>
  <c r="M365" i="2"/>
  <c r="M373" i="2"/>
  <c r="M381" i="2"/>
  <c r="M389" i="2"/>
  <c r="M397" i="2"/>
  <c r="M405" i="2"/>
  <c r="M413" i="2"/>
  <c r="M421" i="2"/>
  <c r="M429" i="2"/>
  <c r="M437" i="2"/>
  <c r="M445" i="2"/>
  <c r="M453" i="2"/>
  <c r="M461" i="2"/>
  <c r="M469" i="2"/>
  <c r="M477" i="2"/>
  <c r="M485" i="2"/>
  <c r="M493" i="2"/>
  <c r="M501" i="2"/>
  <c r="M129" i="2"/>
  <c r="M180" i="2"/>
  <c r="M276" i="2"/>
  <c r="M321" i="2"/>
  <c r="M369" i="2"/>
  <c r="M452" i="2"/>
  <c r="M498" i="2"/>
  <c r="M6" i="2"/>
  <c r="M14" i="2"/>
  <c r="M22" i="2"/>
  <c r="M30" i="2"/>
  <c r="M46" i="2"/>
  <c r="M54" i="2"/>
  <c r="M62" i="2"/>
  <c r="M70" i="2"/>
  <c r="M78" i="2"/>
  <c r="M86" i="2"/>
  <c r="M94" i="2"/>
  <c r="M102" i="2"/>
  <c r="M110" i="2"/>
  <c r="M118" i="2"/>
  <c r="M126" i="2"/>
  <c r="M134" i="2"/>
  <c r="M142" i="2"/>
  <c r="M150" i="2"/>
  <c r="M158" i="2"/>
  <c r="M166" i="2"/>
  <c r="M174" i="2"/>
  <c r="M182" i="2"/>
  <c r="M190" i="2"/>
  <c r="M198" i="2"/>
  <c r="M206" i="2"/>
  <c r="M222" i="2"/>
  <c r="M230" i="2"/>
  <c r="M246" i="2"/>
  <c r="M254" i="2"/>
  <c r="M262" i="2"/>
  <c r="M270" i="2"/>
  <c r="M278" i="2"/>
  <c r="M286" i="2"/>
  <c r="M294" i="2"/>
  <c r="M302" i="2"/>
  <c r="M310" i="2"/>
  <c r="M318" i="2"/>
  <c r="M326" i="2"/>
  <c r="M334" i="2"/>
  <c r="M342" i="2"/>
  <c r="M350" i="2"/>
  <c r="M358" i="2"/>
  <c r="M366" i="2"/>
  <c r="M374" i="2"/>
  <c r="M382" i="2"/>
  <c r="M390" i="2"/>
  <c r="M398" i="2"/>
  <c r="M406" i="2"/>
  <c r="M414" i="2"/>
  <c r="M422" i="2"/>
  <c r="M430" i="2"/>
  <c r="M438" i="2"/>
  <c r="M446" i="2"/>
  <c r="M454" i="2"/>
  <c r="M462" i="2"/>
  <c r="M470" i="2"/>
  <c r="M478" i="2"/>
  <c r="M494" i="2"/>
  <c r="M97" i="2"/>
  <c r="M145" i="2"/>
  <c r="M412" i="2"/>
  <c r="M7" i="2"/>
  <c r="M15" i="2"/>
  <c r="M23" i="2"/>
  <c r="M31" i="2"/>
  <c r="M39" i="2"/>
  <c r="M47" i="2"/>
  <c r="M55" i="2"/>
  <c r="M63" i="2"/>
  <c r="M71" i="2"/>
  <c r="M79" i="2"/>
  <c r="M87" i="2"/>
  <c r="M95" i="2"/>
  <c r="M103" i="2"/>
  <c r="M111" i="2"/>
  <c r="M119" i="2"/>
  <c r="M127" i="2"/>
  <c r="M135" i="2"/>
  <c r="M143" i="2"/>
  <c r="M151" i="2"/>
  <c r="M159" i="2"/>
  <c r="M167" i="2"/>
  <c r="M175" i="2"/>
  <c r="M183" i="2"/>
  <c r="M191" i="2"/>
  <c r="M199" i="2"/>
  <c r="M207" i="2"/>
  <c r="M215" i="2"/>
  <c r="M223" i="2"/>
  <c r="M231" i="2"/>
  <c r="M239" i="2"/>
  <c r="M255" i="2"/>
  <c r="M263" i="2"/>
  <c r="M271" i="2"/>
  <c r="M279" i="2"/>
  <c r="M287" i="2"/>
  <c r="M295" i="2"/>
  <c r="M303" i="2"/>
  <c r="M311" i="2"/>
  <c r="M319" i="2"/>
  <c r="M327" i="2"/>
  <c r="M335" i="2"/>
  <c r="M343" i="2"/>
  <c r="M351" i="2"/>
  <c r="M359" i="2"/>
  <c r="M367" i="2"/>
  <c r="M383" i="2"/>
  <c r="M391" i="2"/>
  <c r="M399" i="2"/>
  <c r="M407" i="2"/>
  <c r="M423" i="2"/>
  <c r="M431" i="2"/>
  <c r="M439" i="2"/>
  <c r="M447" i="2"/>
  <c r="M455" i="2"/>
  <c r="M471" i="2"/>
  <c r="M479" i="2"/>
  <c r="M487" i="2"/>
  <c r="M495" i="2"/>
  <c r="M8" i="2"/>
  <c r="M16" i="2"/>
  <c r="M24" i="2"/>
  <c r="M32" i="2"/>
  <c r="M40" i="2"/>
  <c r="M48" i="2"/>
  <c r="M56" i="2"/>
  <c r="M64" i="2"/>
  <c r="M72" i="2"/>
  <c r="M80" i="2"/>
  <c r="M88" i="2"/>
  <c r="M104" i="2"/>
  <c r="M120" i="2"/>
  <c r="M128" i="2"/>
  <c r="M136" i="2"/>
  <c r="M144" i="2"/>
  <c r="M152" i="2"/>
  <c r="M160" i="2"/>
  <c r="M168" i="2"/>
  <c r="M176" i="2"/>
  <c r="M184" i="2"/>
  <c r="M192" i="2"/>
  <c r="M200" i="2"/>
  <c r="M208" i="2"/>
  <c r="M216" i="2"/>
  <c r="M224" i="2"/>
  <c r="M232" i="2"/>
  <c r="M240" i="2"/>
  <c r="M248" i="2"/>
  <c r="M256" i="2"/>
  <c r="M264" i="2"/>
  <c r="M272" i="2"/>
  <c r="M280" i="2"/>
  <c r="M288" i="2"/>
  <c r="M296" i="2"/>
  <c r="M304" i="2"/>
  <c r="M312" i="2"/>
  <c r="M320" i="2"/>
  <c r="M328" i="2"/>
  <c r="M336" i="2"/>
  <c r="M344" i="2"/>
  <c r="M360" i="2"/>
  <c r="M368" i="2"/>
  <c r="M376" i="2"/>
  <c r="M384" i="2"/>
  <c r="M392" i="2"/>
  <c r="M400" i="2"/>
  <c r="M408" i="2"/>
  <c r="M416" i="2"/>
  <c r="M424" i="2"/>
  <c r="M432" i="2"/>
  <c r="M440" i="2"/>
  <c r="M448" i="2"/>
  <c r="M456" i="2"/>
  <c r="M464" i="2"/>
  <c r="M472" i="2"/>
  <c r="M480" i="2"/>
  <c r="M488" i="2"/>
  <c r="M496" i="2"/>
  <c r="M17" i="2"/>
  <c r="M25" i="2"/>
  <c r="M33" i="2"/>
  <c r="M41" i="2"/>
  <c r="M49" i="2"/>
  <c r="M57" i="2"/>
  <c r="M73" i="2"/>
  <c r="M89" i="2"/>
  <c r="M105" i="2"/>
  <c r="M137" i="2"/>
  <c r="M153" i="2"/>
  <c r="M161" i="2"/>
  <c r="M169" i="2"/>
  <c r="M177" i="2"/>
  <c r="M185" i="2"/>
  <c r="M193" i="2"/>
  <c r="M201" i="2"/>
  <c r="M209" i="2"/>
  <c r="M217" i="2"/>
  <c r="M225" i="2"/>
  <c r="M233" i="2"/>
  <c r="M241" i="2"/>
  <c r="M249" i="2"/>
  <c r="M257" i="2"/>
  <c r="M265" i="2"/>
  <c r="M273" i="2"/>
  <c r="M281" i="2"/>
  <c r="M297" i="2"/>
  <c r="M305" i="2"/>
  <c r="M313" i="2"/>
  <c r="M329" i="2"/>
  <c r="M337" i="2"/>
  <c r="M345" i="2"/>
  <c r="M353" i="2"/>
  <c r="M361" i="2"/>
  <c r="M393" i="2"/>
  <c r="M409" i="2"/>
  <c r="M425" i="2"/>
  <c r="M433" i="2"/>
  <c r="M441" i="2"/>
  <c r="M449" i="2"/>
  <c r="M465" i="2"/>
  <c r="M473" i="2"/>
  <c r="M489" i="2"/>
  <c r="M497" i="2"/>
  <c r="M490" i="2"/>
  <c r="M483" i="2"/>
  <c r="M12" i="2"/>
  <c r="M20" i="2"/>
  <c r="M28" i="2"/>
  <c r="M36" i="2"/>
  <c r="M44" i="2"/>
  <c r="M52" i="2"/>
  <c r="M60" i="2"/>
  <c r="M68" i="2"/>
  <c r="M76" i="2"/>
  <c r="M100" i="2"/>
  <c r="M108" i="2"/>
  <c r="M116" i="2"/>
  <c r="M132" i="2"/>
  <c r="M140" i="2"/>
  <c r="M148" i="2"/>
  <c r="M156" i="2"/>
  <c r="M164" i="2"/>
  <c r="M172" i="2"/>
  <c r="M188" i="2"/>
  <c r="M196" i="2"/>
  <c r="M204" i="2"/>
  <c r="M212" i="2"/>
  <c r="M228" i="2"/>
  <c r="M236" i="2"/>
  <c r="M244" i="2"/>
  <c r="M252" i="2"/>
  <c r="M268" i="2"/>
  <c r="M284" i="2"/>
  <c r="M292" i="2"/>
  <c r="M300" i="2"/>
  <c r="M308" i="2"/>
  <c r="M324" i="2"/>
  <c r="M340" i="2"/>
  <c r="M348" i="2"/>
  <c r="M364" i="2"/>
  <c r="M372" i="2"/>
  <c r="M380" i="2"/>
  <c r="M388" i="2"/>
  <c r="M404" i="2"/>
  <c r="M420" i="2"/>
  <c r="M428" i="2"/>
  <c r="M436" i="2"/>
  <c r="M444" i="2"/>
  <c r="M460" i="2"/>
  <c r="M468" i="2"/>
  <c r="M476" i="2"/>
  <c r="M484" i="2"/>
  <c r="M500" i="2"/>
</calcChain>
</file>

<file path=xl/sharedStrings.xml><?xml version="1.0" encoding="utf-8"?>
<sst xmlns="http://schemas.openxmlformats.org/spreadsheetml/2006/main" count="4137" uniqueCount="202">
  <si>
    <t>Click or Tap</t>
  </si>
  <si>
    <t>chrome</t>
  </si>
  <si>
    <t>browser</t>
  </si>
  <si>
    <t>avancar_btn</t>
  </si>
  <si>
    <t>iniciar_btn</t>
  </si>
  <si>
    <t>entrar_questionario_btn</t>
  </si>
  <si>
    <t>feminino</t>
  </si>
  <si>
    <t>entre_35_59_anos</t>
  </si>
  <si>
    <t>apps_mhealth_frequentemente</t>
  </si>
  <si>
    <t>masculino</t>
  </si>
  <si>
    <t>Windows 10</t>
  </si>
  <si>
    <t>ensino_superior</t>
  </si>
  <si>
    <t>Lost Focus</t>
  </si>
  <si>
    <t>profissao</t>
  </si>
  <si>
    <t>timeStamp</t>
  </si>
  <si>
    <t>session</t>
  </si>
  <si>
    <t>eventType</t>
  </si>
  <si>
    <t>pageTitle</t>
  </si>
  <si>
    <t>eventInfo</t>
  </si>
  <si>
    <t>eventValue</t>
  </si>
  <si>
    <t>agentName</t>
  </si>
  <si>
    <t>agentSystem</t>
  </si>
  <si>
    <t>agentVersion</t>
  </si>
  <si>
    <t>agentType</t>
  </si>
  <si>
    <t>diff_sec</t>
  </si>
  <si>
    <t>Ratio</t>
  </si>
  <si>
    <t>hipertensao_nao</t>
  </si>
  <si>
    <t>hipertensao_nao_sei</t>
  </si>
  <si>
    <t>1.7 Hipertensao</t>
  </si>
  <si>
    <t>1.6 Profissao</t>
  </si>
  <si>
    <t>1.5 Grau escolaridade</t>
  </si>
  <si>
    <t>1.4 Genero</t>
  </si>
  <si>
    <t>1.3 Idade</t>
  </si>
  <si>
    <t>1.2 Consentimento</t>
  </si>
  <si>
    <t>1.1 Inicio</t>
  </si>
  <si>
    <t>eo5uppEyxsV9GqeoFHnPl0rrLEK9E0KK</t>
  </si>
  <si>
    <t>3.11 Questoes finais</t>
  </si>
  <si>
    <t>submeter_resposta_btn</t>
  </si>
  <si>
    <t>112.0.0</t>
  </si>
  <si>
    <t>comentario_sugestao</t>
  </si>
  <si>
    <t>jkhkjb</t>
  </si>
  <si>
    <t>3.10 Questoes video 5 - Medir perimetro braco</t>
  </si>
  <si>
    <t>video5_questao1_errada</t>
  </si>
  <si>
    <t>radio</t>
  </si>
  <si>
    <t>3.9 Questoes video 4 - Medir perimetro cintura</t>
  </si>
  <si>
    <t>video4_questao1_errada</t>
  </si>
  <si>
    <t>3.8 Questoes video 3 - Valores pressao arterial</t>
  </si>
  <si>
    <t>video3_questao2_errada</t>
  </si>
  <si>
    <t>video3_questao1_correta</t>
  </si>
  <si>
    <t>3.7 Questoes video 2 - Importancia adesao terapeutica</t>
  </si>
  <si>
    <t>video2_questao2_errada</t>
  </si>
  <si>
    <t>video2_questao1_errada</t>
  </si>
  <si>
    <t>3.6 Questoes video 1 - Medicao pressao arterial</t>
  </si>
  <si>
    <t>video1_questao3_errada</t>
  </si>
  <si>
    <t>video1_questao2_correta</t>
  </si>
  <si>
    <t>video1_questao1_correta</t>
  </si>
  <si>
    <t>3.5 Questoes plano terapeutico - parte 2</t>
  </si>
  <si>
    <t>definicao_plano_complexo_neutro</t>
  </si>
  <si>
    <t>selecionar_nome_personalizar_alertas_neutro</t>
  </si>
  <si>
    <t>3.4 Questoes plano terapeutico - parte 1</t>
  </si>
  <si>
    <t>plano_flexivel_smile_neutro</t>
  </si>
  <si>
    <t>definicao_plano_facil_smile_neutro</t>
  </si>
  <si>
    <t>3.3 Questoes usabilidade - parte 2</t>
  </si>
  <si>
    <t>interagir_videos_neutro</t>
  </si>
  <si>
    <t>navegar_menus_videos_neutro</t>
  </si>
  <si>
    <t>3.2 Questoes usabilidade - parte 1</t>
  </si>
  <si>
    <t>informacao_videos_smile_neutro</t>
  </si>
  <si>
    <t>app_design_smile_neutro</t>
  </si>
  <si>
    <t>3.1 Fim de prototipo</t>
  </si>
  <si>
    <t>continuar_questionario_btn</t>
  </si>
  <si>
    <t>2.19 Pagina utilizador final</t>
  </si>
  <si>
    <t>sair_prototipo_btn</t>
  </si>
  <si>
    <t>2.18 Plano segunda medicacao</t>
  </si>
  <si>
    <t>gravar_continuar_btn</t>
  </si>
  <si>
    <t>2.17 Agendar segunda toma medicamento</t>
  </si>
  <si>
    <t>2.16 Segundo medicamento</t>
  </si>
  <si>
    <t>nome_medicamento_2</t>
  </si>
  <si>
    <t>Rasilez HCT 150mg + 12.5mg</t>
  </si>
  <si>
    <t>Rasilez 150mg</t>
  </si>
  <si>
    <t>2.14 Plano medicacao (1)</t>
  </si>
  <si>
    <t>adicionar_novo_medicamento_btn</t>
  </si>
  <si>
    <t>2.15 Pagina utilizador</t>
  </si>
  <si>
    <t>plano_medicacao_btn</t>
  </si>
  <si>
    <t>2.14 Plano medicacao</t>
  </si>
  <si>
    <t>2.13 Agendar toma medicamento</t>
  </si>
  <si>
    <t>2.12 Novo medicamento</t>
  </si>
  <si>
    <t>2.11 Plano medicacao</t>
  </si>
  <si>
    <t>2.4 Pagina utilizador</t>
  </si>
  <si>
    <t>2.5 Video 1 - Medicao pressao arterial</t>
  </si>
  <si>
    <t>fechar_video_btn</t>
  </si>
  <si>
    <t>video_medicao_pressao_arterial</t>
  </si>
  <si>
    <t>2.2 Registo</t>
  </si>
  <si>
    <t>entrar_app_inspirers_btn</t>
  </si>
  <si>
    <t>2.1 Instrucoes</t>
  </si>
  <si>
    <t>entrar_prototipo_btn</t>
  </si>
  <si>
    <t>1.9 mHealth apps</t>
  </si>
  <si>
    <t>apps_mhealth_as_vezes</t>
  </si>
  <si>
    <t>1.8 Seguido por profissional</t>
  </si>
  <si>
    <t>consulta_sim</t>
  </si>
  <si>
    <t>hipertensao_sim</t>
  </si>
  <si>
    <t>ugjgj</t>
  </si>
  <si>
    <t>ensino_secundario</t>
  </si>
  <si>
    <t>outro</t>
  </si>
  <si>
    <t>m9A98oSjXBbOFEG-IraucpAZi9d4mfcC</t>
  </si>
  <si>
    <t>cNJ5_Oiw2Ohtd8ch9GNx9-i5TbaxVTy2</t>
  </si>
  <si>
    <t>Oyjgx-UxzktfiQ26y0oYH2HTC-_drfbw</t>
  </si>
  <si>
    <t>tEr3vKuFVNYDDAlhN5ABESf7fCbQuzfY</t>
  </si>
  <si>
    <t>GDS5HwMp4bJGAWO51zThxTXRots_3wI6</t>
  </si>
  <si>
    <t>UikBQCch2tAEGU9eE-LrpOnswYUxRl-z</t>
  </si>
  <si>
    <t>Android OS</t>
  </si>
  <si>
    <t>video5_questao1_correta</t>
  </si>
  <si>
    <t>video4_questao1_correta</t>
  </si>
  <si>
    <t>video2_questao2_correta</t>
  </si>
  <si>
    <t>video2_questao1_correta</t>
  </si>
  <si>
    <t>video1_questao1_errada</t>
  </si>
  <si>
    <t>definicao_plano_complexo_negativo</t>
  </si>
  <si>
    <t>selecionar_nome_personalizar_alertas_negativo</t>
  </si>
  <si>
    <t>definicao_plano_facil_smile_positivo</t>
  </si>
  <si>
    <t>navegar_menus_videos_negativo</t>
  </si>
  <si>
    <t>informacao_videos_smile_negativo</t>
  </si>
  <si>
    <t>2.3 Instrucoes</t>
  </si>
  <si>
    <t/>
  </si>
  <si>
    <t>apps_mhealth_raramente</t>
  </si>
  <si>
    <t>Teste</t>
  </si>
  <si>
    <t>retroceder_btn</t>
  </si>
  <si>
    <t>3.12 Agradecimento participacao</t>
  </si>
  <si>
    <t>teste</t>
  </si>
  <si>
    <t>video3_questao2_naosei</t>
  </si>
  <si>
    <t>video3_questao1_naosei</t>
  </si>
  <si>
    <t>selecionar_nome_personalizar_alertas_positivo</t>
  </si>
  <si>
    <t>definicao_plano_facil_smile_negativo</t>
  </si>
  <si>
    <t>navegar_menus_videos_positivo</t>
  </si>
  <si>
    <t>instrucoes_btn</t>
  </si>
  <si>
    <t>video_medir_perimetro_braco</t>
  </si>
  <si>
    <t>video_escolher_aparelho_medicao</t>
  </si>
  <si>
    <t>video_medir_perimetro_cintura</t>
  </si>
  <si>
    <t>video_valores_pressao_arterial</t>
  </si>
  <si>
    <t>video_importancia_adesao_terapeutica</t>
  </si>
  <si>
    <t>entre_18_34_anos</t>
  </si>
  <si>
    <t>G_9WNGe2hFnqwrf2eXAObRs_-tMy9E6_</t>
  </si>
  <si>
    <t>113.0.0</t>
  </si>
  <si>
    <t>Testeans</t>
  </si>
  <si>
    <t>video5_questao1_naosei</t>
  </si>
  <si>
    <t>video2_questao2_naosei</t>
  </si>
  <si>
    <t>video2_questao1_naosei</t>
  </si>
  <si>
    <t>video1_questao2_errada</t>
  </si>
  <si>
    <t>plano_flexivel_smile_negativo</t>
  </si>
  <si>
    <t>2.10 Pagina utilizador</t>
  </si>
  <si>
    <t>2.13 Video 3 - Valores pressao arterial</t>
  </si>
  <si>
    <t>2.9 Plano segunda medicacao</t>
  </si>
  <si>
    <t>2.8 Agendar segunda toma medicamento</t>
  </si>
  <si>
    <t>intervalo_dias</t>
  </si>
  <si>
    <t>tomar_alguns_dias</t>
  </si>
  <si>
    <t>2.7 Segundo medicamento</t>
  </si>
  <si>
    <t>frasco</t>
  </si>
  <si>
    <t>blister/placa</t>
  </si>
  <si>
    <t>Aliscireno, 150 mg</t>
  </si>
  <si>
    <t>2.6 Plano medicacao</t>
  </si>
  <si>
    <t>2.5 Agendar toma medicamento</t>
  </si>
  <si>
    <t>numero_comprimidos</t>
  </si>
  <si>
    <t>1</t>
  </si>
  <si>
    <t>um_dia_semana</t>
  </si>
  <si>
    <t>2.4 Novo medicamento</t>
  </si>
  <si>
    <t>novo_utilizador_bn</t>
  </si>
  <si>
    <t>Hhhh</t>
  </si>
  <si>
    <t>PLd8uX2TaUORbyhgRBLHrCxC5NnzbYCe</t>
  </si>
  <si>
    <t>EQ2boIkUfYotnaDfHy7_YDDdFtElRX3O</t>
  </si>
  <si>
    <t>VOhzFeKiodVt1NiP0dY4VAPAG9_y3HYe</t>
  </si>
  <si>
    <t>ohspqYLFChRY-91hq51DtD1ATgLO4-Wd</t>
  </si>
  <si>
    <t>video3_questao1_errada</t>
  </si>
  <si>
    <t>app_design_smile_negativo</t>
  </si>
  <si>
    <t>2.14 Video 4 - Medir perimetro cintura</t>
  </si>
  <si>
    <t>2.12 Video 2 - Importancia adesao terapeutica</t>
  </si>
  <si>
    <t>2.11 Video 1 - Medicao pressao arterial</t>
  </si>
  <si>
    <t>2.15 Video 5 - Medir perimetro braco</t>
  </si>
  <si>
    <t>Aliscireno + Hidroclorotiazida, 300 mg + 25 mg</t>
  </si>
  <si>
    <t>quantidade_vezes_2</t>
  </si>
  <si>
    <t>Uma vez por dia</t>
  </si>
  <si>
    <t>1/2</t>
  </si>
  <si>
    <t>Aliscireno + Hidroclorotiazida, 300 mg + 12.5 mg</t>
  </si>
  <si>
    <t>quantidade_vezes</t>
  </si>
  <si>
    <t>Duas vezes por dia</t>
  </si>
  <si>
    <t>2</t>
  </si>
  <si>
    <t>apps_mhealth_nunca</t>
  </si>
  <si>
    <t>ensino_basico</t>
  </si>
  <si>
    <t>mais_60_anos</t>
  </si>
  <si>
    <t>interagir_videos_negativo</t>
  </si>
  <si>
    <t>3</t>
  </si>
  <si>
    <t>Aliscireno + Hidroclorotiazida, 150 mg + 25 mg</t>
  </si>
  <si>
    <t>4wryKIP7UL7xOv89WhvJupTwm84H9dB6</t>
  </si>
  <si>
    <t>Eu2P8zjrImdZgMLdhjci4ms8xVsLnoM-</t>
  </si>
  <si>
    <t>eJg26R27VlJElF-hk4pTM0Ky6yUPDffH</t>
  </si>
  <si>
    <t>video4_questao1_naosei</t>
  </si>
  <si>
    <t>video1_questao1_naosei</t>
  </si>
  <si>
    <t>exist_btn</t>
  </si>
  <si>
    <t>A cada 3 dias</t>
  </si>
  <si>
    <t>A cada 2 dias</t>
  </si>
  <si>
    <t>voltar_btn</t>
  </si>
  <si>
    <t>fundo_agendar_medicamento</t>
  </si>
  <si>
    <t>cancelar_btn</t>
  </si>
  <si>
    <t>alguns_dias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</si>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</sst>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00"/>
    <numFmt numFmtId="165" formatCode="0.000000000"/>
    <numFmt numFmtId="166" formatCode="hh:mm:ss.000"/>
    <numFmt numFmtId="167" formatCode="0.00000000000000000"/>
    <numFmt numFmtId="168" formatCode="0.000000000000000000000000000"/>
    <numFmt numFmtId="169" formatCode="0.0000"/>
    <numFmt numFmtId="170" formatCode="yyyy/mm/dd\ h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0" formatCode="yyyy/mm/dd\ hh:mm:ss.000"/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id="1" name="Document" displayName="Document" ref="A1:J501" totalsRowShown="0">
  <autoFilter ref="A1:J501"/>
  <sortState ref="A2:J501">
    <sortCondition ref="A1:A501"/>
  </sortState>
  <tableColumns count="10">
    <tableColumn id="12" name="timeStamp" dataDxfId="9"/>
    <tableColumn id="13" name="session" dataDxfId="8"/>
    <tableColumn id="14" name="eventType" dataDxfId="7"/>
    <tableColumn id="15" name="pageTitle" dataDxfId="6"/>
    <tableColumn id="16" name="eventInfo" dataDxfId="5"/>
    <tableColumn id="17" name="eventValue" dataDxfId="4"/>
    <tableColumn id="18" name="agentName" dataDxfId="3"/>
    <tableColumn id="19" name="agentSystem" dataDxfId="2"/>
    <tableColumn id="20" name="agentVersion" dataDxfId="1"/>
    <tableColumn id="21" name="agentTyp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76"/>
  <sheetViews>
    <sheetView tabSelected="1" topLeftCell="A487" workbookViewId="0">
      <selection activeCell="A501" sqref="A501"/>
    </sheetView>
  </sheetViews>
  <sheetFormatPr defaultRowHeight="14.4" x14ac:dyDescent="0.55000000000000004"/>
  <cols>
    <col min="1" max="1" width="21.47265625" bestFit="1" customWidth="1"/>
    <col min="2" max="2" width="36.15625" bestFit="1" customWidth="1"/>
    <col min="3" max="3" width="11.7890625" bestFit="1" customWidth="1"/>
    <col min="4" max="4" width="46.89453125" bestFit="1" customWidth="1"/>
    <col min="5" max="5" width="41.7890625" bestFit="1" customWidth="1"/>
    <col min="6" max="6" width="41.1015625" bestFit="1" customWidth="1"/>
    <col min="7" max="7" width="12.734375" bestFit="1" customWidth="1"/>
    <col min="8" max="8" width="13.7890625" bestFit="1" customWidth="1"/>
    <col min="9" max="9" width="14.15625" bestFit="1" customWidth="1"/>
    <col min="10" max="10" width="11.7890625" bestFit="1" customWidth="1"/>
    <col min="11" max="11" width="18.3671875" customWidth="1"/>
    <col min="12" max="12" width="27.15625" style="4" hidden="1" customWidth="1"/>
    <col min="13" max="13" width="8.3671875" bestFit="1" customWidth="1"/>
    <col min="14" max="14" width="14.47265625" style="2" customWidth="1"/>
    <col min="15" max="15" width="7.15625" customWidth="1"/>
    <col min="16" max="16" width="5.1015625" bestFit="1" customWidth="1"/>
    <col min="17" max="17" width="11.7890625" bestFit="1" customWidth="1"/>
    <col min="18" max="18" width="36.15625" bestFit="1" customWidth="1"/>
    <col min="19" max="19" width="33.26171875" bestFit="1" customWidth="1"/>
    <col min="20" max="20" width="35.1015625" bestFit="1" customWidth="1"/>
    <col min="21" max="21" width="37.47265625" bestFit="1" customWidth="1"/>
    <col min="22" max="22" width="22.89453125" bestFit="1" customWidth="1"/>
  </cols>
  <sheetData>
    <row r="1" spans="1:17" x14ac:dyDescent="0.55000000000000004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M1" s="1" t="s">
        <v>24</v>
      </c>
      <c r="P1" t="s">
        <v>25</v>
      </c>
      <c r="Q1">
        <f>1/(24*60*60)</f>
        <v>1.1574074074074073E-5</v>
      </c>
    </row>
    <row r="2" spans="1:17" x14ac:dyDescent="0.55000000000000004">
      <c r="A2" s="11">
        <v>45042.384236111109</v>
      </c>
      <c r="B2" s="12" t="s">
        <v>108</v>
      </c>
      <c r="C2" s="12" t="s">
        <v>0</v>
      </c>
      <c r="D2" s="12" t="s">
        <v>65</v>
      </c>
      <c r="E2" s="12" t="s">
        <v>3</v>
      </c>
      <c r="F2" s="12"/>
      <c r="G2" s="12" t="s">
        <v>1</v>
      </c>
      <c r="H2" s="12" t="s">
        <v>109</v>
      </c>
      <c r="I2" s="12" t="s">
        <v>38</v>
      </c>
      <c r="J2" s="12" t="s">
        <v>2</v>
      </c>
      <c r="M2" s="3">
        <f>IF(AND(L2&gt;0, L2&lt;0.0207),L2/Q$1,0)</f>
        <v>0</v>
      </c>
    </row>
    <row r="3" spans="1:17" x14ac:dyDescent="0.55000000000000004">
      <c r="A3" s="11">
        <v>45042.384247685186</v>
      </c>
      <c r="B3" s="12" t="s">
        <v>108</v>
      </c>
      <c r="C3" s="12" t="s">
        <v>0</v>
      </c>
      <c r="D3" s="12" t="s">
        <v>65</v>
      </c>
      <c r="E3" s="12" t="s">
        <v>67</v>
      </c>
      <c r="F3" s="12"/>
      <c r="G3" s="12" t="s">
        <v>1</v>
      </c>
      <c r="H3" s="12" t="s">
        <v>109</v>
      </c>
      <c r="I3" s="12" t="s">
        <v>38</v>
      </c>
      <c r="J3" s="12" t="s">
        <v>2</v>
      </c>
      <c r="L3" s="4">
        <f>(A2-A3)</f>
        <v>-1.1574076779652387E-5</v>
      </c>
      <c r="M3" s="3">
        <f>IF(AND(L3&gt;0, L3&lt;0.0207),L3/Q$1,0)</f>
        <v>0</v>
      </c>
      <c r="N3" s="2" t="str">
        <f>IF(B3=B2,"","Start")</f>
        <v/>
      </c>
      <c r="P3" s="4"/>
    </row>
    <row r="4" spans="1:17" x14ac:dyDescent="0.55000000000000004">
      <c r="A4" s="11">
        <v>45042.384259259263</v>
      </c>
      <c r="B4" s="12" t="s">
        <v>108</v>
      </c>
      <c r="C4" s="12" t="s">
        <v>0</v>
      </c>
      <c r="D4" s="12" t="s">
        <v>65</v>
      </c>
      <c r="E4" s="12" t="s">
        <v>119</v>
      </c>
      <c r="F4" s="12"/>
      <c r="G4" s="12" t="s">
        <v>1</v>
      </c>
      <c r="H4" s="12" t="s">
        <v>109</v>
      </c>
      <c r="I4" s="12" t="s">
        <v>38</v>
      </c>
      <c r="J4" s="12" t="s">
        <v>2</v>
      </c>
      <c r="L4" s="4">
        <f t="shared" ref="L4:L41" si="0">(A3-A4)</f>
        <v>-1.1574076779652387E-5</v>
      </c>
      <c r="M4" s="3">
        <f t="shared" ref="M4:M67" si="1">IF(AND(L4&gt;0, L4&lt;0.0207),L4/Q$1,0)</f>
        <v>0</v>
      </c>
      <c r="N4" s="2" t="str">
        <f t="shared" ref="N4:N41" si="2">IF(B4=B3,"","Start")</f>
        <v/>
      </c>
    </row>
    <row r="5" spans="1:17" x14ac:dyDescent="0.55000000000000004">
      <c r="A5" s="11">
        <v>45042.384270833332</v>
      </c>
      <c r="B5" s="12" t="s">
        <v>108</v>
      </c>
      <c r="C5" s="12" t="s">
        <v>0</v>
      </c>
      <c r="D5" s="12" t="s">
        <v>65</v>
      </c>
      <c r="E5" s="12" t="s">
        <v>3</v>
      </c>
      <c r="F5" s="12"/>
      <c r="G5" s="12" t="s">
        <v>1</v>
      </c>
      <c r="H5" s="12" t="s">
        <v>109</v>
      </c>
      <c r="I5" s="12" t="s">
        <v>38</v>
      </c>
      <c r="J5" s="12" t="s">
        <v>2</v>
      </c>
      <c r="L5" s="4">
        <f t="shared" si="0"/>
        <v>-1.1574069503694773E-5</v>
      </c>
      <c r="M5" s="3">
        <f t="shared" si="1"/>
        <v>0</v>
      </c>
      <c r="N5" s="2" t="str">
        <f t="shared" si="2"/>
        <v/>
      </c>
    </row>
    <row r="6" spans="1:17" x14ac:dyDescent="0.55000000000000004">
      <c r="A6" s="11">
        <v>45042.384282407409</v>
      </c>
      <c r="B6" s="12" t="s">
        <v>108</v>
      </c>
      <c r="C6" s="12" t="s">
        <v>0</v>
      </c>
      <c r="D6" s="12" t="s">
        <v>62</v>
      </c>
      <c r="E6" s="12" t="s">
        <v>118</v>
      </c>
      <c r="F6" s="12"/>
      <c r="G6" s="12" t="s">
        <v>1</v>
      </c>
      <c r="H6" s="12" t="s">
        <v>109</v>
      </c>
      <c r="I6" s="12" t="s">
        <v>38</v>
      </c>
      <c r="J6" s="12" t="s">
        <v>2</v>
      </c>
      <c r="L6" s="4">
        <f t="shared" si="0"/>
        <v>-1.1574076779652387E-5</v>
      </c>
      <c r="M6" s="3">
        <f t="shared" si="1"/>
        <v>0</v>
      </c>
      <c r="N6" s="2" t="str">
        <f t="shared" si="2"/>
        <v/>
      </c>
    </row>
    <row r="7" spans="1:17" x14ac:dyDescent="0.55000000000000004">
      <c r="A7" s="11">
        <v>45042.384293981479</v>
      </c>
      <c r="B7" s="12" t="s">
        <v>108</v>
      </c>
      <c r="C7" s="12" t="s">
        <v>0</v>
      </c>
      <c r="D7" s="12" t="s">
        <v>62</v>
      </c>
      <c r="E7" s="12" t="s">
        <v>63</v>
      </c>
      <c r="F7" s="12"/>
      <c r="G7" s="12" t="s">
        <v>1</v>
      </c>
      <c r="H7" s="12" t="s">
        <v>109</v>
      </c>
      <c r="I7" s="12" t="s">
        <v>38</v>
      </c>
      <c r="J7" s="12" t="s">
        <v>2</v>
      </c>
      <c r="L7" s="4">
        <f t="shared" si="0"/>
        <v>-1.1574069503694773E-5</v>
      </c>
      <c r="M7" s="3">
        <f t="shared" si="1"/>
        <v>0</v>
      </c>
      <c r="N7" s="2" t="str">
        <f t="shared" si="2"/>
        <v/>
      </c>
    </row>
    <row r="8" spans="1:17" x14ac:dyDescent="0.55000000000000004">
      <c r="A8" s="11">
        <v>45042.384305555555</v>
      </c>
      <c r="B8" s="12" t="s">
        <v>108</v>
      </c>
      <c r="C8" s="12" t="s">
        <v>0</v>
      </c>
      <c r="D8" s="12" t="s">
        <v>62</v>
      </c>
      <c r="E8" s="12" t="s">
        <v>3</v>
      </c>
      <c r="F8" s="12"/>
      <c r="G8" s="12" t="s">
        <v>1</v>
      </c>
      <c r="H8" s="12" t="s">
        <v>109</v>
      </c>
      <c r="I8" s="12" t="s">
        <v>38</v>
      </c>
      <c r="J8" s="12" t="s">
        <v>2</v>
      </c>
      <c r="L8" s="4">
        <f t="shared" si="0"/>
        <v>-1.1574076779652387E-5</v>
      </c>
      <c r="M8" s="3">
        <f t="shared" si="1"/>
        <v>0</v>
      </c>
      <c r="N8" s="2" t="str">
        <f t="shared" si="2"/>
        <v/>
      </c>
    </row>
    <row r="9" spans="1:17" x14ac:dyDescent="0.55000000000000004">
      <c r="A9" s="11">
        <v>45042.384317129632</v>
      </c>
      <c r="B9" s="12" t="s">
        <v>108</v>
      </c>
      <c r="C9" s="12" t="s">
        <v>0</v>
      </c>
      <c r="D9" s="12" t="s">
        <v>59</v>
      </c>
      <c r="E9" s="12" t="s">
        <v>117</v>
      </c>
      <c r="F9" s="12"/>
      <c r="G9" s="12" t="s">
        <v>1</v>
      </c>
      <c r="H9" s="12" t="s">
        <v>109</v>
      </c>
      <c r="I9" s="12" t="s">
        <v>38</v>
      </c>
      <c r="J9" s="12" t="s">
        <v>2</v>
      </c>
      <c r="L9" s="4">
        <f t="shared" si="0"/>
        <v>-1.1574076779652387E-5</v>
      </c>
      <c r="M9" s="3">
        <f t="shared" si="1"/>
        <v>0</v>
      </c>
      <c r="N9" s="2" t="str">
        <f t="shared" si="2"/>
        <v/>
      </c>
    </row>
    <row r="10" spans="1:17" x14ac:dyDescent="0.55000000000000004">
      <c r="A10" s="11">
        <v>45042.384328703702</v>
      </c>
      <c r="B10" s="12" t="s">
        <v>108</v>
      </c>
      <c r="C10" s="12" t="s">
        <v>0</v>
      </c>
      <c r="D10" s="12" t="s">
        <v>59</v>
      </c>
      <c r="E10" s="12" t="s">
        <v>60</v>
      </c>
      <c r="F10" s="12"/>
      <c r="G10" s="12" t="s">
        <v>1</v>
      </c>
      <c r="H10" s="12" t="s">
        <v>109</v>
      </c>
      <c r="I10" s="12" t="s">
        <v>38</v>
      </c>
      <c r="J10" s="12" t="s">
        <v>2</v>
      </c>
      <c r="L10" s="4">
        <f t="shared" si="0"/>
        <v>-1.1574069503694773E-5</v>
      </c>
      <c r="M10" s="3">
        <f t="shared" si="1"/>
        <v>0</v>
      </c>
      <c r="N10" s="2" t="str">
        <f t="shared" si="2"/>
        <v/>
      </c>
      <c r="P10" s="5"/>
      <c r="Q10" s="6"/>
    </row>
    <row r="11" spans="1:17" x14ac:dyDescent="0.55000000000000004">
      <c r="A11" s="11">
        <v>45042.384340277778</v>
      </c>
      <c r="B11" s="12" t="s">
        <v>108</v>
      </c>
      <c r="C11" s="12" t="s">
        <v>0</v>
      </c>
      <c r="D11" s="12" t="s">
        <v>59</v>
      </c>
      <c r="E11" s="12" t="s">
        <v>3</v>
      </c>
      <c r="F11" s="12"/>
      <c r="G11" s="12" t="s">
        <v>1</v>
      </c>
      <c r="H11" s="12" t="s">
        <v>109</v>
      </c>
      <c r="I11" s="12" t="s">
        <v>38</v>
      </c>
      <c r="J11" s="12" t="s">
        <v>2</v>
      </c>
      <c r="L11" s="4">
        <f t="shared" si="0"/>
        <v>-1.1574076779652387E-5</v>
      </c>
      <c r="M11" s="3">
        <f t="shared" si="1"/>
        <v>0</v>
      </c>
      <c r="N11" s="2" t="str">
        <f t="shared" si="2"/>
        <v/>
      </c>
      <c r="P11" s="5"/>
    </row>
    <row r="12" spans="1:17" x14ac:dyDescent="0.55000000000000004">
      <c r="A12" s="11">
        <v>45042.384351851855</v>
      </c>
      <c r="B12" s="12" t="s">
        <v>108</v>
      </c>
      <c r="C12" s="12" t="s">
        <v>0</v>
      </c>
      <c r="D12" s="12" t="s">
        <v>56</v>
      </c>
      <c r="E12" s="12" t="s">
        <v>116</v>
      </c>
      <c r="F12" s="12"/>
      <c r="G12" s="12" t="s">
        <v>1</v>
      </c>
      <c r="H12" s="12" t="s">
        <v>109</v>
      </c>
      <c r="I12" s="12" t="s">
        <v>38</v>
      </c>
      <c r="J12" s="12" t="s">
        <v>2</v>
      </c>
      <c r="L12" s="4">
        <f t="shared" si="0"/>
        <v>-1.1574076779652387E-5</v>
      </c>
      <c r="M12" s="3">
        <f t="shared" si="1"/>
        <v>0</v>
      </c>
      <c r="N12" s="2" t="str">
        <f t="shared" si="2"/>
        <v/>
      </c>
      <c r="P12" s="5"/>
    </row>
    <row r="13" spans="1:17" x14ac:dyDescent="0.55000000000000004">
      <c r="A13" s="11">
        <v>45042.384363425925</v>
      </c>
      <c r="B13" s="12" t="s">
        <v>108</v>
      </c>
      <c r="C13" s="12" t="s">
        <v>0</v>
      </c>
      <c r="D13" s="12" t="s">
        <v>56</v>
      </c>
      <c r="E13" s="12" t="s">
        <v>115</v>
      </c>
      <c r="F13" s="12"/>
      <c r="G13" s="12" t="s">
        <v>1</v>
      </c>
      <c r="H13" s="12" t="s">
        <v>109</v>
      </c>
      <c r="I13" s="12" t="s">
        <v>38</v>
      </c>
      <c r="J13" s="12" t="s">
        <v>2</v>
      </c>
      <c r="L13" s="4">
        <f t="shared" si="0"/>
        <v>-1.1574069503694773E-5</v>
      </c>
      <c r="M13" s="3">
        <f t="shared" si="1"/>
        <v>0</v>
      </c>
      <c r="N13" s="2" t="str">
        <f t="shared" si="2"/>
        <v/>
      </c>
      <c r="P13" s="5"/>
    </row>
    <row r="14" spans="1:17" x14ac:dyDescent="0.55000000000000004">
      <c r="A14" s="11">
        <v>45042.384375000001</v>
      </c>
      <c r="B14" s="12" t="s">
        <v>108</v>
      </c>
      <c r="C14" s="12" t="s">
        <v>0</v>
      </c>
      <c r="D14" s="12" t="s">
        <v>56</v>
      </c>
      <c r="E14" s="12" t="s">
        <v>3</v>
      </c>
      <c r="F14" s="12"/>
      <c r="G14" s="12" t="s">
        <v>1</v>
      </c>
      <c r="H14" s="12" t="s">
        <v>109</v>
      </c>
      <c r="I14" s="12" t="s">
        <v>38</v>
      </c>
      <c r="J14" s="12" t="s">
        <v>2</v>
      </c>
      <c r="L14" s="4">
        <f t="shared" si="0"/>
        <v>-1.1574076779652387E-5</v>
      </c>
      <c r="M14" s="3">
        <f t="shared" si="1"/>
        <v>0</v>
      </c>
      <c r="N14" s="2" t="str">
        <f t="shared" si="2"/>
        <v/>
      </c>
      <c r="P14" s="5"/>
    </row>
    <row r="15" spans="1:17" x14ac:dyDescent="0.55000000000000004">
      <c r="A15" s="11">
        <v>45042.384398148148</v>
      </c>
      <c r="B15" s="12" t="s">
        <v>108</v>
      </c>
      <c r="C15" s="12" t="s">
        <v>0</v>
      </c>
      <c r="D15" s="12" t="s">
        <v>52</v>
      </c>
      <c r="E15" s="12" t="s">
        <v>54</v>
      </c>
      <c r="F15" s="12" t="s">
        <v>43</v>
      </c>
      <c r="G15" s="12" t="s">
        <v>1</v>
      </c>
      <c r="H15" s="12" t="s">
        <v>109</v>
      </c>
      <c r="I15" s="12" t="s">
        <v>38</v>
      </c>
      <c r="J15" s="12" t="s">
        <v>2</v>
      </c>
      <c r="L15" s="4">
        <f t="shared" si="0"/>
        <v>-2.314814628334716E-5</v>
      </c>
      <c r="M15" s="3">
        <f t="shared" si="1"/>
        <v>0</v>
      </c>
      <c r="N15" s="2" t="str">
        <f t="shared" si="2"/>
        <v/>
      </c>
      <c r="P15" s="5"/>
    </row>
    <row r="16" spans="1:17" x14ac:dyDescent="0.55000000000000004">
      <c r="A16" s="11">
        <v>45042.384409722225</v>
      </c>
      <c r="B16" s="12" t="s">
        <v>108</v>
      </c>
      <c r="C16" s="12" t="s">
        <v>0</v>
      </c>
      <c r="D16" s="12" t="s">
        <v>52</v>
      </c>
      <c r="E16" s="12" t="s">
        <v>114</v>
      </c>
      <c r="F16" s="12" t="s">
        <v>43</v>
      </c>
      <c r="G16" s="12" t="s">
        <v>1</v>
      </c>
      <c r="H16" s="12" t="s">
        <v>109</v>
      </c>
      <c r="I16" s="12" t="s">
        <v>38</v>
      </c>
      <c r="J16" s="12" t="s">
        <v>2</v>
      </c>
      <c r="L16" s="4">
        <f t="shared" si="0"/>
        <v>-1.1574076779652387E-5</v>
      </c>
      <c r="M16" s="3">
        <f t="shared" si="1"/>
        <v>0</v>
      </c>
      <c r="N16" s="2" t="str">
        <f t="shared" si="2"/>
        <v/>
      </c>
      <c r="P16" s="5"/>
    </row>
    <row r="17" spans="1:17" x14ac:dyDescent="0.55000000000000004">
      <c r="A17" s="11">
        <v>45042.384421296294</v>
      </c>
      <c r="B17" s="12" t="s">
        <v>108</v>
      </c>
      <c r="C17" s="12" t="s">
        <v>0</v>
      </c>
      <c r="D17" s="12" t="s">
        <v>52</v>
      </c>
      <c r="E17" s="12" t="s">
        <v>53</v>
      </c>
      <c r="F17" s="12" t="s">
        <v>43</v>
      </c>
      <c r="G17" s="12" t="s">
        <v>1</v>
      </c>
      <c r="H17" s="12" t="s">
        <v>109</v>
      </c>
      <c r="I17" s="12" t="s">
        <v>38</v>
      </c>
      <c r="J17" s="12" t="s">
        <v>2</v>
      </c>
      <c r="L17" s="4">
        <f t="shared" si="0"/>
        <v>-1.1574069503694773E-5</v>
      </c>
      <c r="M17" s="3">
        <f t="shared" si="1"/>
        <v>0</v>
      </c>
      <c r="N17" s="2" t="str">
        <f t="shared" si="2"/>
        <v/>
      </c>
      <c r="P17" s="5"/>
    </row>
    <row r="18" spans="1:17" x14ac:dyDescent="0.55000000000000004">
      <c r="A18" s="11">
        <v>45042.384432870371</v>
      </c>
      <c r="B18" s="12" t="s">
        <v>108</v>
      </c>
      <c r="C18" s="12" t="s">
        <v>0</v>
      </c>
      <c r="D18" s="12" t="s">
        <v>52</v>
      </c>
      <c r="E18" s="12" t="s">
        <v>3</v>
      </c>
      <c r="F18" s="12"/>
      <c r="G18" s="12" t="s">
        <v>1</v>
      </c>
      <c r="H18" s="12" t="s">
        <v>109</v>
      </c>
      <c r="I18" s="12" t="s">
        <v>38</v>
      </c>
      <c r="J18" s="12" t="s">
        <v>2</v>
      </c>
      <c r="L18" s="4">
        <f t="shared" si="0"/>
        <v>-1.1574076779652387E-5</v>
      </c>
      <c r="M18" s="3">
        <f t="shared" si="1"/>
        <v>0</v>
      </c>
      <c r="N18" s="2" t="str">
        <f t="shared" si="2"/>
        <v/>
      </c>
    </row>
    <row r="19" spans="1:17" x14ac:dyDescent="0.55000000000000004">
      <c r="A19" s="11">
        <v>45042.384456018517</v>
      </c>
      <c r="B19" s="12" t="s">
        <v>108</v>
      </c>
      <c r="C19" s="12" t="s">
        <v>0</v>
      </c>
      <c r="D19" s="12" t="s">
        <v>49</v>
      </c>
      <c r="E19" s="12" t="s">
        <v>113</v>
      </c>
      <c r="F19" s="12" t="s">
        <v>43</v>
      </c>
      <c r="G19" s="12" t="s">
        <v>1</v>
      </c>
      <c r="H19" s="12" t="s">
        <v>109</v>
      </c>
      <c r="I19" s="12" t="s">
        <v>38</v>
      </c>
      <c r="J19" s="12" t="s">
        <v>2</v>
      </c>
      <c r="L19" s="4">
        <f t="shared" si="0"/>
        <v>-2.314814628334716E-5</v>
      </c>
      <c r="M19" s="3">
        <f t="shared" si="1"/>
        <v>0</v>
      </c>
      <c r="N19" s="2" t="str">
        <f t="shared" si="2"/>
        <v/>
      </c>
      <c r="P19" s="5"/>
    </row>
    <row r="20" spans="1:17" x14ac:dyDescent="0.55000000000000004">
      <c r="A20" s="11">
        <v>45042.384479166663</v>
      </c>
      <c r="B20" s="12" t="s">
        <v>108</v>
      </c>
      <c r="C20" s="12" t="s">
        <v>0</v>
      </c>
      <c r="D20" s="12" t="s">
        <v>49</v>
      </c>
      <c r="E20" s="12" t="s">
        <v>112</v>
      </c>
      <c r="F20" s="12" t="s">
        <v>43</v>
      </c>
      <c r="G20" s="12" t="s">
        <v>1</v>
      </c>
      <c r="H20" s="12" t="s">
        <v>109</v>
      </c>
      <c r="I20" s="12" t="s">
        <v>38</v>
      </c>
      <c r="J20" s="12" t="s">
        <v>2</v>
      </c>
      <c r="L20" s="4">
        <f t="shared" si="0"/>
        <v>-2.314814628334716E-5</v>
      </c>
      <c r="M20" s="3">
        <f t="shared" si="1"/>
        <v>0</v>
      </c>
      <c r="N20" s="2" t="str">
        <f t="shared" si="2"/>
        <v/>
      </c>
    </row>
    <row r="21" spans="1:17" x14ac:dyDescent="0.55000000000000004">
      <c r="A21" s="11">
        <v>45042.38449074074</v>
      </c>
      <c r="B21" s="12" t="s">
        <v>108</v>
      </c>
      <c r="C21" s="12" t="s">
        <v>0</v>
      </c>
      <c r="D21" s="12" t="s">
        <v>49</v>
      </c>
      <c r="E21" s="12" t="s">
        <v>3</v>
      </c>
      <c r="F21" s="12"/>
      <c r="G21" s="12" t="s">
        <v>1</v>
      </c>
      <c r="H21" s="12" t="s">
        <v>109</v>
      </c>
      <c r="I21" s="12" t="s">
        <v>38</v>
      </c>
      <c r="J21" s="12" t="s">
        <v>2</v>
      </c>
      <c r="L21" s="4">
        <f t="shared" si="0"/>
        <v>-1.1574076779652387E-5</v>
      </c>
      <c r="M21" s="3">
        <f t="shared" si="1"/>
        <v>0</v>
      </c>
      <c r="N21" s="2" t="str">
        <f t="shared" si="2"/>
        <v/>
      </c>
    </row>
    <row r="22" spans="1:17" x14ac:dyDescent="0.55000000000000004">
      <c r="A22" s="11">
        <v>45042.384525462963</v>
      </c>
      <c r="B22" s="12" t="s">
        <v>108</v>
      </c>
      <c r="C22" s="12" t="s">
        <v>0</v>
      </c>
      <c r="D22" s="12" t="s">
        <v>46</v>
      </c>
      <c r="E22" s="12" t="s">
        <v>48</v>
      </c>
      <c r="F22" s="12" t="s">
        <v>43</v>
      </c>
      <c r="G22" s="12" t="s">
        <v>1</v>
      </c>
      <c r="H22" s="12" t="s">
        <v>109</v>
      </c>
      <c r="I22" s="12" t="s">
        <v>38</v>
      </c>
      <c r="J22" s="12" t="s">
        <v>2</v>
      </c>
      <c r="L22" s="4">
        <f t="shared" si="0"/>
        <v>-3.4722223062999547E-5</v>
      </c>
      <c r="M22" s="3">
        <f t="shared" si="1"/>
        <v>0</v>
      </c>
      <c r="N22" s="2" t="str">
        <f t="shared" si="2"/>
        <v/>
      </c>
      <c r="O22" s="7"/>
    </row>
    <row r="23" spans="1:17" x14ac:dyDescent="0.55000000000000004">
      <c r="A23" s="11">
        <v>45042.38453703704</v>
      </c>
      <c r="B23" s="12" t="s">
        <v>108</v>
      </c>
      <c r="C23" s="12" t="s">
        <v>0</v>
      </c>
      <c r="D23" s="12" t="s">
        <v>46</v>
      </c>
      <c r="E23" s="12" t="s">
        <v>47</v>
      </c>
      <c r="F23" s="12" t="s">
        <v>43</v>
      </c>
      <c r="G23" s="12" t="s">
        <v>1</v>
      </c>
      <c r="H23" s="12" t="s">
        <v>109</v>
      </c>
      <c r="I23" s="12" t="s">
        <v>38</v>
      </c>
      <c r="J23" s="12" t="s">
        <v>2</v>
      </c>
      <c r="L23" s="4">
        <f t="shared" si="0"/>
        <v>-1.1574076779652387E-5</v>
      </c>
      <c r="M23" s="3">
        <f t="shared" si="1"/>
        <v>0</v>
      </c>
      <c r="N23" s="2" t="str">
        <f t="shared" si="2"/>
        <v/>
      </c>
    </row>
    <row r="24" spans="1:17" x14ac:dyDescent="0.55000000000000004">
      <c r="A24" s="11">
        <v>45042.384548611109</v>
      </c>
      <c r="B24" s="12" t="s">
        <v>108</v>
      </c>
      <c r="C24" s="12" t="s">
        <v>0</v>
      </c>
      <c r="D24" s="12" t="s">
        <v>46</v>
      </c>
      <c r="E24" s="12" t="s">
        <v>3</v>
      </c>
      <c r="F24" s="12"/>
      <c r="G24" s="12" t="s">
        <v>1</v>
      </c>
      <c r="H24" s="12" t="s">
        <v>109</v>
      </c>
      <c r="I24" s="12" t="s">
        <v>38</v>
      </c>
      <c r="J24" s="12" t="s">
        <v>2</v>
      </c>
      <c r="L24" s="4">
        <f t="shared" si="0"/>
        <v>-1.1574069503694773E-5</v>
      </c>
      <c r="M24" s="3">
        <f t="shared" si="1"/>
        <v>0</v>
      </c>
      <c r="N24" s="2" t="str">
        <f t="shared" si="2"/>
        <v/>
      </c>
    </row>
    <row r="25" spans="1:17" x14ac:dyDescent="0.55000000000000004">
      <c r="A25" s="11">
        <v>45042.384571759256</v>
      </c>
      <c r="B25" s="12" t="s">
        <v>108</v>
      </c>
      <c r="C25" s="12" t="s">
        <v>0</v>
      </c>
      <c r="D25" s="12" t="s">
        <v>44</v>
      </c>
      <c r="E25" s="12" t="s">
        <v>111</v>
      </c>
      <c r="F25" s="12" t="s">
        <v>43</v>
      </c>
      <c r="G25" s="12" t="s">
        <v>1</v>
      </c>
      <c r="H25" s="12" t="s">
        <v>109</v>
      </c>
      <c r="I25" s="12" t="s">
        <v>38</v>
      </c>
      <c r="J25" s="12" t="s">
        <v>2</v>
      </c>
      <c r="L25" s="4">
        <f t="shared" si="0"/>
        <v>-2.314814628334716E-5</v>
      </c>
      <c r="M25" s="3">
        <f t="shared" si="1"/>
        <v>0</v>
      </c>
      <c r="N25" s="2" t="str">
        <f t="shared" si="2"/>
        <v/>
      </c>
    </row>
    <row r="26" spans="1:17" x14ac:dyDescent="0.55000000000000004">
      <c r="A26" s="11">
        <v>45042.384583333333</v>
      </c>
      <c r="B26" s="12" t="s">
        <v>108</v>
      </c>
      <c r="C26" s="12" t="s">
        <v>0</v>
      </c>
      <c r="D26" s="12" t="s">
        <v>44</v>
      </c>
      <c r="E26" s="12" t="s">
        <v>3</v>
      </c>
      <c r="F26" s="12"/>
      <c r="G26" s="12" t="s">
        <v>1</v>
      </c>
      <c r="H26" s="12" t="s">
        <v>109</v>
      </c>
      <c r="I26" s="12" t="s">
        <v>38</v>
      </c>
      <c r="J26" s="12" t="s">
        <v>2</v>
      </c>
      <c r="L26" s="4">
        <f t="shared" si="0"/>
        <v>-1.1574076779652387E-5</v>
      </c>
      <c r="M26" s="3">
        <f t="shared" si="1"/>
        <v>0</v>
      </c>
      <c r="N26" s="2" t="str">
        <f t="shared" si="2"/>
        <v/>
      </c>
    </row>
    <row r="27" spans="1:17" x14ac:dyDescent="0.55000000000000004">
      <c r="A27" s="11">
        <v>45042.384606481479</v>
      </c>
      <c r="B27" s="12" t="s">
        <v>108</v>
      </c>
      <c r="C27" s="12" t="s">
        <v>0</v>
      </c>
      <c r="D27" s="12" t="s">
        <v>41</v>
      </c>
      <c r="E27" s="12" t="s">
        <v>110</v>
      </c>
      <c r="F27" s="12" t="s">
        <v>43</v>
      </c>
      <c r="G27" s="12" t="s">
        <v>1</v>
      </c>
      <c r="H27" s="12" t="s">
        <v>109</v>
      </c>
      <c r="I27" s="12" t="s">
        <v>38</v>
      </c>
      <c r="J27" s="12" t="s">
        <v>2</v>
      </c>
      <c r="L27" s="4">
        <f t="shared" si="0"/>
        <v>-2.314814628334716E-5</v>
      </c>
      <c r="M27" s="3">
        <f t="shared" si="1"/>
        <v>0</v>
      </c>
      <c r="N27" s="2" t="str">
        <f t="shared" si="2"/>
        <v/>
      </c>
    </row>
    <row r="28" spans="1:17" x14ac:dyDescent="0.55000000000000004">
      <c r="A28" s="11">
        <v>45042.384618055556</v>
      </c>
      <c r="B28" s="12" t="s">
        <v>108</v>
      </c>
      <c r="C28" s="12" t="s">
        <v>0</v>
      </c>
      <c r="D28" s="12" t="s">
        <v>41</v>
      </c>
      <c r="E28" s="12" t="s">
        <v>3</v>
      </c>
      <c r="F28" s="12"/>
      <c r="G28" s="12" t="s">
        <v>1</v>
      </c>
      <c r="H28" s="12" t="s">
        <v>109</v>
      </c>
      <c r="I28" s="12" t="s">
        <v>38</v>
      </c>
      <c r="J28" s="12" t="s">
        <v>2</v>
      </c>
      <c r="L28" s="4">
        <f t="shared" si="0"/>
        <v>-1.1574076779652387E-5</v>
      </c>
      <c r="M28" s="3">
        <f t="shared" si="1"/>
        <v>0</v>
      </c>
      <c r="N28" s="2" t="str">
        <f t="shared" si="2"/>
        <v/>
      </c>
    </row>
    <row r="29" spans="1:17" x14ac:dyDescent="0.55000000000000004">
      <c r="A29" s="11">
        <v>45042.384652777779</v>
      </c>
      <c r="B29" s="12" t="s">
        <v>108</v>
      </c>
      <c r="C29" s="12" t="s">
        <v>0</v>
      </c>
      <c r="D29" s="12" t="s">
        <v>36</v>
      </c>
      <c r="E29" s="12" t="s">
        <v>37</v>
      </c>
      <c r="F29" s="12"/>
      <c r="G29" s="12" t="s">
        <v>1</v>
      </c>
      <c r="H29" s="12" t="s">
        <v>109</v>
      </c>
      <c r="I29" s="12" t="s">
        <v>38</v>
      </c>
      <c r="J29" s="12" t="s">
        <v>2</v>
      </c>
      <c r="L29" s="4">
        <f t="shared" si="0"/>
        <v>-3.4722223062999547E-5</v>
      </c>
      <c r="M29" s="3">
        <f t="shared" si="1"/>
        <v>0</v>
      </c>
      <c r="N29" s="2" t="str">
        <f t="shared" si="2"/>
        <v/>
      </c>
      <c r="P29" s="8"/>
      <c r="Q29" s="9"/>
    </row>
    <row r="30" spans="1:17" x14ac:dyDescent="0.55000000000000004">
      <c r="A30" s="11">
        <v>45043.781006944446</v>
      </c>
      <c r="B30" s="12" t="s">
        <v>107</v>
      </c>
      <c r="C30" s="12" t="s">
        <v>0</v>
      </c>
      <c r="D30" s="12" t="s">
        <v>34</v>
      </c>
      <c r="E30" s="12" t="s">
        <v>5</v>
      </c>
      <c r="F30" s="12"/>
      <c r="G30" s="12" t="s">
        <v>1</v>
      </c>
      <c r="H30" s="12" t="s">
        <v>10</v>
      </c>
      <c r="I30" s="12" t="s">
        <v>38</v>
      </c>
      <c r="J30" s="12" t="s">
        <v>2</v>
      </c>
      <c r="L30" s="4">
        <f t="shared" si="0"/>
        <v>-1.3963541666671517</v>
      </c>
      <c r="M30" s="3">
        <f t="shared" si="1"/>
        <v>0</v>
      </c>
      <c r="N30" s="2" t="str">
        <f t="shared" si="2"/>
        <v>Start</v>
      </c>
    </row>
    <row r="31" spans="1:17" x14ac:dyDescent="0.55000000000000004">
      <c r="A31" s="11">
        <v>45043.781030092592</v>
      </c>
      <c r="B31" s="12" t="s">
        <v>105</v>
      </c>
      <c r="C31" s="12" t="s">
        <v>0</v>
      </c>
      <c r="D31" s="12" t="s">
        <v>34</v>
      </c>
      <c r="E31" s="12" t="s">
        <v>5</v>
      </c>
      <c r="F31" s="12"/>
      <c r="G31" s="12" t="s">
        <v>1</v>
      </c>
      <c r="H31" s="12" t="s">
        <v>10</v>
      </c>
      <c r="I31" s="12" t="s">
        <v>38</v>
      </c>
      <c r="J31" s="12" t="s">
        <v>2</v>
      </c>
      <c r="L31" s="4">
        <f t="shared" si="0"/>
        <v>-2.314814628334716E-5</v>
      </c>
      <c r="M31" s="3">
        <f t="shared" si="1"/>
        <v>0</v>
      </c>
      <c r="N31" s="2" t="str">
        <f t="shared" si="2"/>
        <v>Start</v>
      </c>
    </row>
    <row r="32" spans="1:17" x14ac:dyDescent="0.55000000000000004">
      <c r="A32" s="11">
        <v>45043.781053240738</v>
      </c>
      <c r="B32" s="12" t="s">
        <v>106</v>
      </c>
      <c r="C32" s="12" t="s">
        <v>0</v>
      </c>
      <c r="D32" s="12" t="s">
        <v>34</v>
      </c>
      <c r="E32" s="12" t="s">
        <v>5</v>
      </c>
      <c r="F32" s="12"/>
      <c r="G32" s="12" t="s">
        <v>1</v>
      </c>
      <c r="H32" s="12" t="s">
        <v>10</v>
      </c>
      <c r="I32" s="12" t="s">
        <v>38</v>
      </c>
      <c r="J32" s="12" t="s">
        <v>2</v>
      </c>
      <c r="L32" s="4">
        <f t="shared" si="0"/>
        <v>-2.314814628334716E-5</v>
      </c>
      <c r="M32" s="3">
        <f t="shared" si="1"/>
        <v>0</v>
      </c>
      <c r="N32" s="2" t="str">
        <f t="shared" si="2"/>
        <v>Start</v>
      </c>
    </row>
    <row r="33" spans="1:14" x14ac:dyDescent="0.55000000000000004">
      <c r="A33" s="11">
        <v>45043.781087962961</v>
      </c>
      <c r="B33" s="12" t="s">
        <v>104</v>
      </c>
      <c r="C33" s="12" t="s">
        <v>0</v>
      </c>
      <c r="D33" s="12" t="s">
        <v>33</v>
      </c>
      <c r="E33" s="12" t="s">
        <v>4</v>
      </c>
      <c r="F33" s="12"/>
      <c r="G33" s="12" t="s">
        <v>1</v>
      </c>
      <c r="H33" s="12" t="s">
        <v>10</v>
      </c>
      <c r="I33" s="12" t="s">
        <v>38</v>
      </c>
      <c r="J33" s="12" t="s">
        <v>2</v>
      </c>
      <c r="L33" s="4">
        <f t="shared" si="0"/>
        <v>-3.4722223062999547E-5</v>
      </c>
      <c r="M33" s="3">
        <f t="shared" si="1"/>
        <v>0</v>
      </c>
      <c r="N33" s="2" t="str">
        <f t="shared" si="2"/>
        <v>Start</v>
      </c>
    </row>
    <row r="34" spans="1:14" x14ac:dyDescent="0.55000000000000004">
      <c r="A34" s="11">
        <v>45043.781134259261</v>
      </c>
      <c r="B34" s="12" t="s">
        <v>104</v>
      </c>
      <c r="C34" s="12" t="s">
        <v>0</v>
      </c>
      <c r="D34" s="12" t="s">
        <v>32</v>
      </c>
      <c r="E34" s="12" t="s">
        <v>7</v>
      </c>
      <c r="F34" s="12"/>
      <c r="G34" s="12" t="s">
        <v>1</v>
      </c>
      <c r="H34" s="12" t="s">
        <v>10</v>
      </c>
      <c r="I34" s="12" t="s">
        <v>38</v>
      </c>
      <c r="J34" s="12" t="s">
        <v>2</v>
      </c>
      <c r="L34" s="4">
        <f t="shared" si="0"/>
        <v>-4.6296299842651933E-5</v>
      </c>
      <c r="M34" s="3">
        <f t="shared" si="1"/>
        <v>0</v>
      </c>
      <c r="N34" s="2" t="str">
        <f t="shared" si="2"/>
        <v/>
      </c>
    </row>
    <row r="35" spans="1:14" x14ac:dyDescent="0.55000000000000004">
      <c r="A35" s="11">
        <v>45043.781145833331</v>
      </c>
      <c r="B35" s="12" t="s">
        <v>103</v>
      </c>
      <c r="C35" s="12" t="s">
        <v>0</v>
      </c>
      <c r="D35" s="12" t="s">
        <v>32</v>
      </c>
      <c r="E35" s="12" t="s">
        <v>3</v>
      </c>
      <c r="F35" s="12"/>
      <c r="G35" s="12" t="s">
        <v>1</v>
      </c>
      <c r="H35" s="12" t="s">
        <v>10</v>
      </c>
      <c r="I35" s="12" t="s">
        <v>38</v>
      </c>
      <c r="J35" s="12" t="s">
        <v>2</v>
      </c>
      <c r="L35" s="4">
        <f t="shared" si="0"/>
        <v>-1.1574069503694773E-5</v>
      </c>
      <c r="M35" s="3">
        <f t="shared" si="1"/>
        <v>0</v>
      </c>
      <c r="N35" s="2" t="str">
        <f t="shared" si="2"/>
        <v>Start</v>
      </c>
    </row>
    <row r="36" spans="1:14" x14ac:dyDescent="0.55000000000000004">
      <c r="A36" s="11">
        <v>45043.781168981484</v>
      </c>
      <c r="B36" s="12" t="s">
        <v>35</v>
      </c>
      <c r="C36" s="12" t="s">
        <v>0</v>
      </c>
      <c r="D36" s="12" t="s">
        <v>31</v>
      </c>
      <c r="E36" s="12" t="s">
        <v>102</v>
      </c>
      <c r="F36" s="12"/>
      <c r="G36" s="12" t="s">
        <v>1</v>
      </c>
      <c r="H36" s="12" t="s">
        <v>10</v>
      </c>
      <c r="I36" s="12" t="s">
        <v>38</v>
      </c>
      <c r="J36" s="12" t="s">
        <v>2</v>
      </c>
      <c r="L36" s="4">
        <f t="shared" si="0"/>
        <v>-2.3148153559304774E-5</v>
      </c>
      <c r="M36" s="3">
        <f t="shared" si="1"/>
        <v>0</v>
      </c>
      <c r="N36" s="2" t="str">
        <f t="shared" si="2"/>
        <v>Start</v>
      </c>
    </row>
    <row r="37" spans="1:14" x14ac:dyDescent="0.55000000000000004">
      <c r="A37" s="11">
        <v>45043.781192129631</v>
      </c>
      <c r="B37" s="12" t="s">
        <v>35</v>
      </c>
      <c r="C37" s="12" t="s">
        <v>0</v>
      </c>
      <c r="D37" s="12" t="s">
        <v>31</v>
      </c>
      <c r="E37" s="12" t="s">
        <v>3</v>
      </c>
      <c r="F37" s="12"/>
      <c r="G37" s="12" t="s">
        <v>1</v>
      </c>
      <c r="H37" s="12" t="s">
        <v>10</v>
      </c>
      <c r="I37" s="12" t="s">
        <v>38</v>
      </c>
      <c r="J37" s="12" t="s">
        <v>2</v>
      </c>
      <c r="L37" s="4">
        <f t="shared" si="0"/>
        <v>-2.314814628334716E-5</v>
      </c>
      <c r="M37" s="3">
        <f t="shared" si="1"/>
        <v>0</v>
      </c>
      <c r="N37" s="2" t="str">
        <f t="shared" si="2"/>
        <v/>
      </c>
    </row>
    <row r="38" spans="1:14" x14ac:dyDescent="0.55000000000000004">
      <c r="A38" s="11">
        <v>45043.7812037037</v>
      </c>
      <c r="B38" s="12" t="s">
        <v>35</v>
      </c>
      <c r="C38" s="12" t="s">
        <v>0</v>
      </c>
      <c r="D38" s="12" t="s">
        <v>30</v>
      </c>
      <c r="E38" s="12" t="s">
        <v>101</v>
      </c>
      <c r="F38" s="12"/>
      <c r="G38" s="12" t="s">
        <v>1</v>
      </c>
      <c r="H38" s="12" t="s">
        <v>10</v>
      </c>
      <c r="I38" s="12" t="s">
        <v>38</v>
      </c>
      <c r="J38" s="12" t="s">
        <v>2</v>
      </c>
      <c r="L38" s="4">
        <f t="shared" si="0"/>
        <v>-1.1574069503694773E-5</v>
      </c>
      <c r="M38" s="3">
        <f t="shared" si="1"/>
        <v>0</v>
      </c>
      <c r="N38" s="2" t="str">
        <f t="shared" si="2"/>
        <v/>
      </c>
    </row>
    <row r="39" spans="1:14" x14ac:dyDescent="0.55000000000000004">
      <c r="A39" s="11">
        <v>45043.781215277777</v>
      </c>
      <c r="B39" s="12" t="s">
        <v>35</v>
      </c>
      <c r="C39" s="12" t="s">
        <v>0</v>
      </c>
      <c r="D39" s="12" t="s">
        <v>30</v>
      </c>
      <c r="E39" s="12" t="s">
        <v>3</v>
      </c>
      <c r="F39" s="12"/>
      <c r="G39" s="12" t="s">
        <v>1</v>
      </c>
      <c r="H39" s="12" t="s">
        <v>10</v>
      </c>
      <c r="I39" s="12" t="s">
        <v>38</v>
      </c>
      <c r="J39" s="12" t="s">
        <v>2</v>
      </c>
      <c r="L39" s="4">
        <f t="shared" si="0"/>
        <v>-1.1574076779652387E-5</v>
      </c>
      <c r="M39" s="3">
        <f t="shared" si="1"/>
        <v>0</v>
      </c>
      <c r="N39" s="2" t="str">
        <f t="shared" si="2"/>
        <v/>
      </c>
    </row>
    <row r="40" spans="1:14" x14ac:dyDescent="0.55000000000000004">
      <c r="A40" s="11">
        <v>45043.7812962963</v>
      </c>
      <c r="B40" s="12" t="s">
        <v>35</v>
      </c>
      <c r="C40" s="12" t="s">
        <v>0</v>
      </c>
      <c r="D40" s="12" t="s">
        <v>29</v>
      </c>
      <c r="E40" s="12" t="s">
        <v>3</v>
      </c>
      <c r="F40" s="12"/>
      <c r="G40" s="12" t="s">
        <v>1</v>
      </c>
      <c r="H40" s="12" t="s">
        <v>10</v>
      </c>
      <c r="I40" s="12" t="s">
        <v>38</v>
      </c>
      <c r="J40" s="12" t="s">
        <v>2</v>
      </c>
      <c r="L40" s="4">
        <f t="shared" si="0"/>
        <v>-8.101852290565148E-5</v>
      </c>
      <c r="M40" s="3">
        <f t="shared" si="1"/>
        <v>0</v>
      </c>
      <c r="N40" s="2" t="str">
        <f t="shared" si="2"/>
        <v/>
      </c>
    </row>
    <row r="41" spans="1:14" x14ac:dyDescent="0.55000000000000004">
      <c r="A41" s="11">
        <v>45043.7812962963</v>
      </c>
      <c r="B41" s="12" t="s">
        <v>35</v>
      </c>
      <c r="C41" s="12" t="s">
        <v>12</v>
      </c>
      <c r="D41" s="12" t="s">
        <v>29</v>
      </c>
      <c r="E41" s="12" t="s">
        <v>13</v>
      </c>
      <c r="F41" s="12" t="s">
        <v>100</v>
      </c>
      <c r="G41" s="12" t="s">
        <v>1</v>
      </c>
      <c r="H41" s="12" t="s">
        <v>10</v>
      </c>
      <c r="I41" s="12" t="s">
        <v>38</v>
      </c>
      <c r="J41" s="12" t="s">
        <v>2</v>
      </c>
      <c r="L41" s="4">
        <f t="shared" si="0"/>
        <v>0</v>
      </c>
      <c r="M41" s="3">
        <f t="shared" si="1"/>
        <v>0</v>
      </c>
      <c r="N41" s="2" t="str">
        <f t="shared" si="2"/>
        <v/>
      </c>
    </row>
    <row r="42" spans="1:14" x14ac:dyDescent="0.55000000000000004">
      <c r="A42" s="11">
        <v>45043.781307870369</v>
      </c>
      <c r="B42" s="12" t="s">
        <v>35</v>
      </c>
      <c r="C42" s="12" t="s">
        <v>0</v>
      </c>
      <c r="D42" s="12" t="s">
        <v>28</v>
      </c>
      <c r="E42" s="12" t="s">
        <v>26</v>
      </c>
      <c r="F42" s="12"/>
      <c r="G42" s="12" t="s">
        <v>1</v>
      </c>
      <c r="H42" s="12" t="s">
        <v>10</v>
      </c>
      <c r="I42" s="12" t="s">
        <v>38</v>
      </c>
      <c r="J42" s="12" t="s">
        <v>2</v>
      </c>
      <c r="L42" s="4" t="e">
        <f>(A41-#REF!)</f>
        <v>#REF!</v>
      </c>
      <c r="M42" s="3" t="e">
        <f t="shared" si="1"/>
        <v>#REF!</v>
      </c>
      <c r="N42" s="2" t="e">
        <f>IF(#REF!=B41,"","Start")</f>
        <v>#REF!</v>
      </c>
    </row>
    <row r="43" spans="1:14" x14ac:dyDescent="0.55000000000000004">
      <c r="A43" s="11">
        <v>45043.781342592592</v>
      </c>
      <c r="B43" s="12" t="s">
        <v>35</v>
      </c>
      <c r="C43" s="12" t="s">
        <v>0</v>
      </c>
      <c r="D43" s="12" t="s">
        <v>28</v>
      </c>
      <c r="E43" s="12" t="s">
        <v>99</v>
      </c>
      <c r="F43" s="12"/>
      <c r="G43" s="12" t="s">
        <v>1</v>
      </c>
      <c r="H43" s="12" t="s">
        <v>10</v>
      </c>
      <c r="I43" s="12" t="s">
        <v>38</v>
      </c>
      <c r="J43" s="12" t="s">
        <v>2</v>
      </c>
      <c r="L43" s="4" t="e">
        <f>(#REF!-#REF!)</f>
        <v>#REF!</v>
      </c>
      <c r="M43" s="3" t="e">
        <f t="shared" si="1"/>
        <v>#REF!</v>
      </c>
      <c r="N43" s="2" t="e">
        <f>IF(#REF!=#REF!,"","Start")</f>
        <v>#REF!</v>
      </c>
    </row>
    <row r="44" spans="1:14" x14ac:dyDescent="0.55000000000000004">
      <c r="A44" s="11">
        <v>45043.781354166669</v>
      </c>
      <c r="B44" s="12" t="s">
        <v>35</v>
      </c>
      <c r="C44" s="12" t="s">
        <v>0</v>
      </c>
      <c r="D44" s="12" t="s">
        <v>28</v>
      </c>
      <c r="E44" s="12" t="s">
        <v>3</v>
      </c>
      <c r="F44" s="12"/>
      <c r="G44" s="12" t="s">
        <v>1</v>
      </c>
      <c r="H44" s="12" t="s">
        <v>10</v>
      </c>
      <c r="I44" s="12" t="s">
        <v>38</v>
      </c>
      <c r="J44" s="12" t="s">
        <v>2</v>
      </c>
      <c r="L44" s="4" t="e">
        <f>(#REF!-#REF!)</f>
        <v>#REF!</v>
      </c>
      <c r="M44" s="3" t="e">
        <f t="shared" si="1"/>
        <v>#REF!</v>
      </c>
      <c r="N44" s="2" t="e">
        <f>IF(#REF!=#REF!,"","Start")</f>
        <v>#REF!</v>
      </c>
    </row>
    <row r="45" spans="1:14" x14ac:dyDescent="0.55000000000000004">
      <c r="A45" s="11">
        <v>45043.781377314815</v>
      </c>
      <c r="B45" s="12" t="s">
        <v>35</v>
      </c>
      <c r="C45" s="12" t="s">
        <v>0</v>
      </c>
      <c r="D45" s="12" t="s">
        <v>97</v>
      </c>
      <c r="E45" s="12" t="s">
        <v>98</v>
      </c>
      <c r="F45" s="12"/>
      <c r="G45" s="12" t="s">
        <v>1</v>
      </c>
      <c r="H45" s="12" t="s">
        <v>10</v>
      </c>
      <c r="I45" s="12" t="s">
        <v>38</v>
      </c>
      <c r="J45" s="12" t="s">
        <v>2</v>
      </c>
      <c r="L45" s="4" t="e">
        <f>(#REF!-#REF!)</f>
        <v>#REF!</v>
      </c>
      <c r="M45" s="3" t="e">
        <f t="shared" si="1"/>
        <v>#REF!</v>
      </c>
      <c r="N45" s="2" t="e">
        <f>IF(#REF!=#REF!,"","Start")</f>
        <v>#REF!</v>
      </c>
    </row>
    <row r="46" spans="1:14" x14ac:dyDescent="0.55000000000000004">
      <c r="A46" s="11">
        <v>45043.781388888892</v>
      </c>
      <c r="B46" s="12" t="s">
        <v>35</v>
      </c>
      <c r="C46" s="12" t="s">
        <v>0</v>
      </c>
      <c r="D46" s="12" t="s">
        <v>97</v>
      </c>
      <c r="E46" s="12" t="s">
        <v>3</v>
      </c>
      <c r="F46" s="12"/>
      <c r="G46" s="12" t="s">
        <v>1</v>
      </c>
      <c r="H46" s="12" t="s">
        <v>10</v>
      </c>
      <c r="I46" s="12" t="s">
        <v>38</v>
      </c>
      <c r="J46" s="12" t="s">
        <v>2</v>
      </c>
      <c r="L46" s="4" t="e">
        <f>(#REF!-#REF!)</f>
        <v>#REF!</v>
      </c>
      <c r="M46" s="3" t="e">
        <f t="shared" si="1"/>
        <v>#REF!</v>
      </c>
      <c r="N46" s="2" t="e">
        <f>IF(#REF!=#REF!,"","Start")</f>
        <v>#REF!</v>
      </c>
    </row>
    <row r="47" spans="1:14" x14ac:dyDescent="0.55000000000000004">
      <c r="A47" s="11">
        <v>45043.781435185185</v>
      </c>
      <c r="B47" s="12" t="s">
        <v>35</v>
      </c>
      <c r="C47" s="12" t="s">
        <v>0</v>
      </c>
      <c r="D47" s="12" t="s">
        <v>95</v>
      </c>
      <c r="E47" s="12" t="s">
        <v>96</v>
      </c>
      <c r="F47" s="12"/>
      <c r="G47" s="12" t="s">
        <v>1</v>
      </c>
      <c r="H47" s="12" t="s">
        <v>10</v>
      </c>
      <c r="I47" s="12" t="s">
        <v>38</v>
      </c>
      <c r="J47" s="12" t="s">
        <v>2</v>
      </c>
      <c r="L47" s="4" t="e">
        <f>(#REF!-#REF!)</f>
        <v>#REF!</v>
      </c>
      <c r="M47" s="3" t="e">
        <f t="shared" si="1"/>
        <v>#REF!</v>
      </c>
      <c r="N47" s="2" t="e">
        <f>IF(#REF!=#REF!,"","Start")</f>
        <v>#REF!</v>
      </c>
    </row>
    <row r="48" spans="1:14" x14ac:dyDescent="0.55000000000000004">
      <c r="A48" s="11">
        <v>45043.781446759262</v>
      </c>
      <c r="B48" s="12" t="s">
        <v>35</v>
      </c>
      <c r="C48" s="12" t="s">
        <v>0</v>
      </c>
      <c r="D48" s="12" t="s">
        <v>95</v>
      </c>
      <c r="E48" s="12" t="s">
        <v>3</v>
      </c>
      <c r="F48" s="12"/>
      <c r="G48" s="12" t="s">
        <v>1</v>
      </c>
      <c r="H48" s="12" t="s">
        <v>10</v>
      </c>
      <c r="I48" s="12" t="s">
        <v>38</v>
      </c>
      <c r="J48" s="12" t="s">
        <v>2</v>
      </c>
      <c r="L48" s="4" t="e">
        <f>(#REF!-#REF!)</f>
        <v>#REF!</v>
      </c>
      <c r="M48" s="3" t="e">
        <f t="shared" si="1"/>
        <v>#REF!</v>
      </c>
      <c r="N48" s="2" t="e">
        <f>IF(#REF!=#REF!,"","Start")</f>
        <v>#REF!</v>
      </c>
    </row>
    <row r="49" spans="1:14" x14ac:dyDescent="0.55000000000000004">
      <c r="A49" s="11">
        <v>45043.781469907408</v>
      </c>
      <c r="B49" s="12" t="s">
        <v>35</v>
      </c>
      <c r="C49" s="12" t="s">
        <v>0</v>
      </c>
      <c r="D49" s="12" t="s">
        <v>93</v>
      </c>
      <c r="E49" s="12" t="s">
        <v>94</v>
      </c>
      <c r="F49" s="12"/>
      <c r="G49" s="12" t="s">
        <v>1</v>
      </c>
      <c r="H49" s="12" t="s">
        <v>10</v>
      </c>
      <c r="I49" s="12" t="s">
        <v>38</v>
      </c>
      <c r="J49" s="12" t="s">
        <v>2</v>
      </c>
      <c r="L49" s="4" t="e">
        <f>(#REF!-#REF!)</f>
        <v>#REF!</v>
      </c>
      <c r="M49" s="3" t="e">
        <f t="shared" si="1"/>
        <v>#REF!</v>
      </c>
      <c r="N49" s="2" t="e">
        <f>IF(#REF!=#REF!,"","Start")</f>
        <v>#REF!</v>
      </c>
    </row>
    <row r="50" spans="1:14" x14ac:dyDescent="0.55000000000000004">
      <c r="A50" s="11">
        <v>45043.781504629631</v>
      </c>
      <c r="B50" s="12" t="s">
        <v>35</v>
      </c>
      <c r="C50" s="12" t="s">
        <v>0</v>
      </c>
      <c r="D50" s="12" t="s">
        <v>91</v>
      </c>
      <c r="E50" s="12" t="s">
        <v>92</v>
      </c>
      <c r="F50" s="12"/>
      <c r="G50" s="12" t="s">
        <v>1</v>
      </c>
      <c r="H50" s="12" t="s">
        <v>10</v>
      </c>
      <c r="I50" s="12" t="s">
        <v>38</v>
      </c>
      <c r="J50" s="12" t="s">
        <v>2</v>
      </c>
      <c r="L50" s="4" t="e">
        <f>(#REF!-#REF!)</f>
        <v>#REF!</v>
      </c>
      <c r="M50" s="3" t="e">
        <f t="shared" si="1"/>
        <v>#REF!</v>
      </c>
      <c r="N50" s="2" t="e">
        <f>IF(#REF!=#REF!,"","Start")</f>
        <v>#REF!</v>
      </c>
    </row>
    <row r="51" spans="1:14" x14ac:dyDescent="0.55000000000000004">
      <c r="A51" s="11">
        <v>45043.781527777777</v>
      </c>
      <c r="B51" s="12" t="s">
        <v>35</v>
      </c>
      <c r="C51" s="12" t="s">
        <v>0</v>
      </c>
      <c r="D51" s="12" t="s">
        <v>87</v>
      </c>
      <c r="E51" s="12" t="s">
        <v>90</v>
      </c>
      <c r="F51" s="12"/>
      <c r="G51" s="12" t="s">
        <v>1</v>
      </c>
      <c r="H51" s="12" t="s">
        <v>10</v>
      </c>
      <c r="I51" s="12" t="s">
        <v>38</v>
      </c>
      <c r="J51" s="12" t="s">
        <v>2</v>
      </c>
      <c r="L51" s="4" t="e">
        <f>(#REF!-#REF!)</f>
        <v>#REF!</v>
      </c>
      <c r="M51" s="3" t="e">
        <f t="shared" si="1"/>
        <v>#REF!</v>
      </c>
      <c r="N51" s="2" t="e">
        <f>IF(#REF!=#REF!,"","Start")</f>
        <v>#REF!</v>
      </c>
    </row>
    <row r="52" spans="1:14" x14ac:dyDescent="0.55000000000000004">
      <c r="A52" s="11">
        <v>45043.7815625</v>
      </c>
      <c r="B52" s="12" t="s">
        <v>35</v>
      </c>
      <c r="C52" s="12" t="s">
        <v>0</v>
      </c>
      <c r="D52" s="12" t="s">
        <v>88</v>
      </c>
      <c r="E52" s="12" t="s">
        <v>89</v>
      </c>
      <c r="F52" s="12"/>
      <c r="G52" s="12" t="s">
        <v>1</v>
      </c>
      <c r="H52" s="12" t="s">
        <v>10</v>
      </c>
      <c r="I52" s="12" t="s">
        <v>38</v>
      </c>
      <c r="J52" s="12" t="s">
        <v>2</v>
      </c>
      <c r="L52" s="4" t="e">
        <f>(#REF!-#REF!)</f>
        <v>#REF!</v>
      </c>
      <c r="M52" s="3" t="e">
        <f t="shared" si="1"/>
        <v>#REF!</v>
      </c>
      <c r="N52" s="2" t="e">
        <f>IF(#REF!=#REF!,"","Start")</f>
        <v>#REF!</v>
      </c>
    </row>
    <row r="53" spans="1:14" x14ac:dyDescent="0.55000000000000004">
      <c r="A53" s="11">
        <v>45043.781608796293</v>
      </c>
      <c r="B53" s="12" t="s">
        <v>35</v>
      </c>
      <c r="C53" s="12" t="s">
        <v>0</v>
      </c>
      <c r="D53" s="12" t="s">
        <v>87</v>
      </c>
      <c r="E53" s="12" t="s">
        <v>82</v>
      </c>
      <c r="F53" s="12"/>
      <c r="G53" s="12" t="s">
        <v>1</v>
      </c>
      <c r="H53" s="12" t="s">
        <v>10</v>
      </c>
      <c r="I53" s="12" t="s">
        <v>38</v>
      </c>
      <c r="J53" s="12" t="s">
        <v>2</v>
      </c>
      <c r="L53" s="4" t="e">
        <f>(#REF!-#REF!)</f>
        <v>#REF!</v>
      </c>
      <c r="M53" s="3" t="e">
        <f t="shared" si="1"/>
        <v>#REF!</v>
      </c>
      <c r="N53" s="2" t="e">
        <f>IF(#REF!=#REF!,"","Start")</f>
        <v>#REF!</v>
      </c>
    </row>
    <row r="54" spans="1:14" x14ac:dyDescent="0.55000000000000004">
      <c r="A54" s="11">
        <v>45043.781631944446</v>
      </c>
      <c r="B54" s="12" t="s">
        <v>35</v>
      </c>
      <c r="C54" s="12" t="s">
        <v>0</v>
      </c>
      <c r="D54" s="12" t="s">
        <v>86</v>
      </c>
      <c r="E54" s="12" t="s">
        <v>80</v>
      </c>
      <c r="F54" s="12"/>
      <c r="G54" s="12" t="s">
        <v>1</v>
      </c>
      <c r="H54" s="12" t="s">
        <v>10</v>
      </c>
      <c r="I54" s="12" t="s">
        <v>38</v>
      </c>
      <c r="J54" s="12" t="s">
        <v>2</v>
      </c>
      <c r="L54" s="4" t="e">
        <f>(#REF!-#REF!)</f>
        <v>#REF!</v>
      </c>
      <c r="M54" s="3" t="e">
        <f t="shared" si="1"/>
        <v>#REF!</v>
      </c>
      <c r="N54" s="2" t="e">
        <f>IF(#REF!=#REF!,"","Start")</f>
        <v>#REF!</v>
      </c>
    </row>
    <row r="55" spans="1:14" x14ac:dyDescent="0.55000000000000004">
      <c r="A55" s="11">
        <v>45043.781678240739</v>
      </c>
      <c r="B55" s="12" t="s">
        <v>35</v>
      </c>
      <c r="C55" s="12" t="s">
        <v>0</v>
      </c>
      <c r="D55" s="12" t="s">
        <v>85</v>
      </c>
      <c r="E55" s="12" t="s">
        <v>73</v>
      </c>
      <c r="F55" s="12"/>
      <c r="G55" s="12" t="s">
        <v>1</v>
      </c>
      <c r="H55" s="12" t="s">
        <v>10</v>
      </c>
      <c r="I55" s="12" t="s">
        <v>38</v>
      </c>
      <c r="J55" s="12" t="s">
        <v>2</v>
      </c>
      <c r="L55" s="4" t="e">
        <f>(#REF!-#REF!)</f>
        <v>#REF!</v>
      </c>
      <c r="M55" s="3" t="e">
        <f t="shared" si="1"/>
        <v>#REF!</v>
      </c>
      <c r="N55" s="2" t="e">
        <f>IF(#REF!=#REF!,"","Start")</f>
        <v>#REF!</v>
      </c>
    </row>
    <row r="56" spans="1:14" x14ac:dyDescent="0.55000000000000004">
      <c r="A56" s="11">
        <v>45043.781701388885</v>
      </c>
      <c r="B56" s="12" t="s">
        <v>35</v>
      </c>
      <c r="C56" s="12" t="s">
        <v>0</v>
      </c>
      <c r="D56" s="12" t="s">
        <v>84</v>
      </c>
      <c r="E56" s="12" t="s">
        <v>73</v>
      </c>
      <c r="F56" s="12"/>
      <c r="G56" s="12" t="s">
        <v>1</v>
      </c>
      <c r="H56" s="12" t="s">
        <v>10</v>
      </c>
      <c r="I56" s="12" t="s">
        <v>38</v>
      </c>
      <c r="J56" s="12" t="s">
        <v>2</v>
      </c>
      <c r="L56" s="4" t="e">
        <f>(#REF!-#REF!)</f>
        <v>#REF!</v>
      </c>
      <c r="M56" s="3" t="e">
        <f t="shared" si="1"/>
        <v>#REF!</v>
      </c>
      <c r="N56" s="2" t="e">
        <f>IF(#REF!=#REF!,"","Start")</f>
        <v>#REF!</v>
      </c>
    </row>
    <row r="57" spans="1:14" x14ac:dyDescent="0.55000000000000004">
      <c r="A57" s="11">
        <v>45043.781747685185</v>
      </c>
      <c r="B57" s="12" t="s">
        <v>35</v>
      </c>
      <c r="C57" s="12" t="s">
        <v>0</v>
      </c>
      <c r="D57" s="12" t="s">
        <v>83</v>
      </c>
      <c r="E57" s="12" t="s">
        <v>73</v>
      </c>
      <c r="F57" s="12"/>
      <c r="G57" s="12" t="s">
        <v>1</v>
      </c>
      <c r="H57" s="12" t="s">
        <v>10</v>
      </c>
      <c r="I57" s="12" t="s">
        <v>38</v>
      </c>
      <c r="J57" s="12" t="s">
        <v>2</v>
      </c>
      <c r="L57" s="4" t="e">
        <f>(#REF!-#REF!)</f>
        <v>#REF!</v>
      </c>
      <c r="M57" s="3" t="e">
        <f t="shared" si="1"/>
        <v>#REF!</v>
      </c>
      <c r="N57" s="2" t="e">
        <f>IF(#REF!=#REF!,"","Start")</f>
        <v>#REF!</v>
      </c>
    </row>
    <row r="58" spans="1:14" x14ac:dyDescent="0.55000000000000004">
      <c r="A58" s="11">
        <v>45043.781782407408</v>
      </c>
      <c r="B58" s="12" t="s">
        <v>35</v>
      </c>
      <c r="C58" s="12" t="s">
        <v>0</v>
      </c>
      <c r="D58" s="12" t="s">
        <v>81</v>
      </c>
      <c r="E58" s="12" t="s">
        <v>82</v>
      </c>
      <c r="F58" s="12"/>
      <c r="G58" s="12" t="s">
        <v>1</v>
      </c>
      <c r="H58" s="12" t="s">
        <v>10</v>
      </c>
      <c r="I58" s="12" t="s">
        <v>38</v>
      </c>
      <c r="J58" s="12" t="s">
        <v>2</v>
      </c>
      <c r="L58" s="4" t="e">
        <f>(#REF!-#REF!)</f>
        <v>#REF!</v>
      </c>
      <c r="M58" s="3" t="e">
        <f t="shared" si="1"/>
        <v>#REF!</v>
      </c>
      <c r="N58" s="2" t="e">
        <f>IF(#REF!=#REF!,"","Start")</f>
        <v>#REF!</v>
      </c>
    </row>
    <row r="59" spans="1:14" x14ac:dyDescent="0.55000000000000004">
      <c r="A59" s="11">
        <v>45043.781805555554</v>
      </c>
      <c r="B59" s="12" t="s">
        <v>35</v>
      </c>
      <c r="C59" s="12" t="s">
        <v>0</v>
      </c>
      <c r="D59" s="12" t="s">
        <v>79</v>
      </c>
      <c r="E59" s="12" t="s">
        <v>80</v>
      </c>
      <c r="F59" s="12"/>
      <c r="G59" s="12" t="s">
        <v>1</v>
      </c>
      <c r="H59" s="12" t="s">
        <v>10</v>
      </c>
      <c r="I59" s="12" t="s">
        <v>38</v>
      </c>
      <c r="J59" s="12" t="s">
        <v>2</v>
      </c>
      <c r="L59" s="4" t="e">
        <f>(#REF!-#REF!)</f>
        <v>#REF!</v>
      </c>
      <c r="M59" s="3" t="e">
        <f t="shared" si="1"/>
        <v>#REF!</v>
      </c>
      <c r="N59" s="2" t="e">
        <f>IF(#REF!=#REF!,"","Start")</f>
        <v>#REF!</v>
      </c>
    </row>
    <row r="60" spans="1:14" x14ac:dyDescent="0.55000000000000004">
      <c r="A60" s="11">
        <v>45043.781840277778</v>
      </c>
      <c r="B60" s="12" t="s">
        <v>35</v>
      </c>
      <c r="C60" s="12" t="s">
        <v>0</v>
      </c>
      <c r="D60" s="12" t="s">
        <v>75</v>
      </c>
      <c r="E60" s="12" t="s">
        <v>76</v>
      </c>
      <c r="F60" s="12" t="s">
        <v>78</v>
      </c>
      <c r="G60" s="12" t="s">
        <v>1</v>
      </c>
      <c r="H60" s="12" t="s">
        <v>10</v>
      </c>
      <c r="I60" s="12" t="s">
        <v>38</v>
      </c>
      <c r="J60" s="12" t="s">
        <v>2</v>
      </c>
      <c r="L60" s="4" t="e">
        <f>(#REF!-#REF!)</f>
        <v>#REF!</v>
      </c>
      <c r="M60" s="3" t="e">
        <f t="shared" si="1"/>
        <v>#REF!</v>
      </c>
      <c r="N60" s="2" t="e">
        <f>IF(#REF!=#REF!,"","Start")</f>
        <v>#REF!</v>
      </c>
    </row>
    <row r="61" spans="1:14" x14ac:dyDescent="0.55000000000000004">
      <c r="A61" s="11">
        <v>45043.781851851854</v>
      </c>
      <c r="B61" s="12" t="s">
        <v>35</v>
      </c>
      <c r="C61" s="12" t="s">
        <v>0</v>
      </c>
      <c r="D61" s="12" t="s">
        <v>75</v>
      </c>
      <c r="E61" s="12" t="s">
        <v>76</v>
      </c>
      <c r="F61" s="12" t="s">
        <v>77</v>
      </c>
      <c r="G61" s="12" t="s">
        <v>1</v>
      </c>
      <c r="H61" s="12" t="s">
        <v>10</v>
      </c>
      <c r="I61" s="12" t="s">
        <v>38</v>
      </c>
      <c r="J61" s="12" t="s">
        <v>2</v>
      </c>
      <c r="L61" s="4" t="e">
        <f>(#REF!-#REF!)</f>
        <v>#REF!</v>
      </c>
      <c r="M61" s="3" t="e">
        <f t="shared" si="1"/>
        <v>#REF!</v>
      </c>
      <c r="N61" s="2" t="e">
        <f>IF(#REF!=#REF!,"","Start")</f>
        <v>#REF!</v>
      </c>
    </row>
    <row r="62" spans="1:14" x14ac:dyDescent="0.55000000000000004">
      <c r="A62" s="11">
        <v>45043.781863425924</v>
      </c>
      <c r="B62" s="12" t="s">
        <v>35</v>
      </c>
      <c r="C62" s="12" t="s">
        <v>0</v>
      </c>
      <c r="D62" s="12" t="s">
        <v>75</v>
      </c>
      <c r="E62" s="12" t="s">
        <v>73</v>
      </c>
      <c r="F62" s="12"/>
      <c r="G62" s="12" t="s">
        <v>1</v>
      </c>
      <c r="H62" s="12" t="s">
        <v>10</v>
      </c>
      <c r="I62" s="12" t="s">
        <v>38</v>
      </c>
      <c r="J62" s="12" t="s">
        <v>2</v>
      </c>
      <c r="L62" s="4" t="e">
        <f>(#REF!-#REF!)</f>
        <v>#REF!</v>
      </c>
      <c r="M62" s="3" t="e">
        <f t="shared" si="1"/>
        <v>#REF!</v>
      </c>
      <c r="N62" s="2" t="e">
        <f>IF(#REF!=#REF!,"","Start")</f>
        <v>#REF!</v>
      </c>
    </row>
    <row r="63" spans="1:14" x14ac:dyDescent="0.55000000000000004">
      <c r="A63" s="11">
        <v>45043.781886574077</v>
      </c>
      <c r="B63" s="12" t="s">
        <v>35</v>
      </c>
      <c r="C63" s="12" t="s">
        <v>0</v>
      </c>
      <c r="D63" s="12" t="s">
        <v>74</v>
      </c>
      <c r="E63" s="12" t="s">
        <v>73</v>
      </c>
      <c r="F63" s="12"/>
      <c r="G63" s="12" t="s">
        <v>1</v>
      </c>
      <c r="H63" s="12" t="s">
        <v>10</v>
      </c>
      <c r="I63" s="12" t="s">
        <v>38</v>
      </c>
      <c r="J63" s="12" t="s">
        <v>2</v>
      </c>
      <c r="L63" s="4" t="e">
        <f>(#REF!-#REF!)</f>
        <v>#REF!</v>
      </c>
      <c r="M63" s="3" t="e">
        <f t="shared" si="1"/>
        <v>#REF!</v>
      </c>
      <c r="N63" s="2" t="e">
        <f>IF(#REF!=#REF!,"","Start")</f>
        <v>#REF!</v>
      </c>
    </row>
    <row r="64" spans="1:14" x14ac:dyDescent="0.55000000000000004">
      <c r="A64" s="11">
        <v>45043.78193287037</v>
      </c>
      <c r="B64" s="12" t="s">
        <v>35</v>
      </c>
      <c r="C64" s="12" t="s">
        <v>0</v>
      </c>
      <c r="D64" s="12" t="s">
        <v>72</v>
      </c>
      <c r="E64" s="12" t="s">
        <v>73</v>
      </c>
      <c r="F64" s="12"/>
      <c r="G64" s="12" t="s">
        <v>1</v>
      </c>
      <c r="H64" s="12" t="s">
        <v>10</v>
      </c>
      <c r="I64" s="12" t="s">
        <v>38</v>
      </c>
      <c r="J64" s="12" t="s">
        <v>2</v>
      </c>
      <c r="L64" s="4" t="e">
        <f>(#REF!-#REF!)</f>
        <v>#REF!</v>
      </c>
      <c r="M64" s="3" t="e">
        <f t="shared" si="1"/>
        <v>#REF!</v>
      </c>
      <c r="N64" s="2" t="e">
        <f>IF(#REF!=#REF!,"","Start")</f>
        <v>#REF!</v>
      </c>
    </row>
    <row r="65" spans="1:14" x14ac:dyDescent="0.55000000000000004">
      <c r="A65" s="11">
        <v>45043.781990740739</v>
      </c>
      <c r="B65" s="12" t="s">
        <v>35</v>
      </c>
      <c r="C65" s="12" t="s">
        <v>0</v>
      </c>
      <c r="D65" s="12" t="s">
        <v>70</v>
      </c>
      <c r="E65" s="12" t="s">
        <v>71</v>
      </c>
      <c r="F65" s="12"/>
      <c r="G65" s="12" t="s">
        <v>1</v>
      </c>
      <c r="H65" s="12" t="s">
        <v>10</v>
      </c>
      <c r="I65" s="12" t="s">
        <v>38</v>
      </c>
      <c r="J65" s="12" t="s">
        <v>2</v>
      </c>
      <c r="L65" s="4" t="e">
        <f>(#REF!-#REF!)</f>
        <v>#REF!</v>
      </c>
      <c r="M65" s="3" t="e">
        <f t="shared" si="1"/>
        <v>#REF!</v>
      </c>
      <c r="N65" s="2" t="e">
        <f>IF(#REF!=#REF!,"","Start")</f>
        <v>#REF!</v>
      </c>
    </row>
    <row r="66" spans="1:14" x14ac:dyDescent="0.55000000000000004">
      <c r="A66" s="11">
        <v>45043.782025462962</v>
      </c>
      <c r="B66" s="12" t="s">
        <v>35</v>
      </c>
      <c r="C66" s="12" t="s">
        <v>0</v>
      </c>
      <c r="D66" s="12" t="s">
        <v>68</v>
      </c>
      <c r="E66" s="12" t="s">
        <v>69</v>
      </c>
      <c r="F66" s="12"/>
      <c r="G66" s="12" t="s">
        <v>1</v>
      </c>
      <c r="H66" s="12" t="s">
        <v>10</v>
      </c>
      <c r="I66" s="12" t="s">
        <v>38</v>
      </c>
      <c r="J66" s="12" t="s">
        <v>2</v>
      </c>
      <c r="L66" s="4" t="e">
        <f>(#REF!-#REF!)</f>
        <v>#REF!</v>
      </c>
      <c r="M66" s="3" t="e">
        <f t="shared" si="1"/>
        <v>#REF!</v>
      </c>
      <c r="N66" s="2" t="e">
        <f>IF(#REF!=#REF!,"","Start")</f>
        <v>#REF!</v>
      </c>
    </row>
    <row r="67" spans="1:14" x14ac:dyDescent="0.55000000000000004">
      <c r="A67" s="11">
        <v>45043.782048611109</v>
      </c>
      <c r="B67" s="12" t="s">
        <v>35</v>
      </c>
      <c r="C67" s="12" t="s">
        <v>0</v>
      </c>
      <c r="D67" s="12" t="s">
        <v>65</v>
      </c>
      <c r="E67" s="12" t="s">
        <v>67</v>
      </c>
      <c r="F67" s="12"/>
      <c r="G67" s="12" t="s">
        <v>1</v>
      </c>
      <c r="H67" s="12" t="s">
        <v>10</v>
      </c>
      <c r="I67" s="12" t="s">
        <v>38</v>
      </c>
      <c r="J67" s="12" t="s">
        <v>2</v>
      </c>
      <c r="L67" s="4" t="e">
        <f>(#REF!-#REF!)</f>
        <v>#REF!</v>
      </c>
      <c r="M67" s="3" t="e">
        <f t="shared" si="1"/>
        <v>#REF!</v>
      </c>
      <c r="N67" s="2" t="e">
        <f>IF(#REF!=#REF!,"","Start")</f>
        <v>#REF!</v>
      </c>
    </row>
    <row r="68" spans="1:14" x14ac:dyDescent="0.55000000000000004">
      <c r="A68" s="11">
        <v>45043.782060185185</v>
      </c>
      <c r="B68" s="12" t="s">
        <v>35</v>
      </c>
      <c r="C68" s="12" t="s">
        <v>0</v>
      </c>
      <c r="D68" s="12" t="s">
        <v>65</v>
      </c>
      <c r="E68" s="12" t="s">
        <v>66</v>
      </c>
      <c r="F68" s="12"/>
      <c r="G68" s="12" t="s">
        <v>1</v>
      </c>
      <c r="H68" s="12" t="s">
        <v>10</v>
      </c>
      <c r="I68" s="12" t="s">
        <v>38</v>
      </c>
      <c r="J68" s="12" t="s">
        <v>2</v>
      </c>
      <c r="L68" s="4" t="e">
        <f>(#REF!-#REF!)</f>
        <v>#REF!</v>
      </c>
      <c r="M68" s="3" t="e">
        <f t="shared" ref="M68:M131" si="3">IF(AND(L68&gt;0, L68&lt;0.0207),L68/Q$1,0)</f>
        <v>#REF!</v>
      </c>
      <c r="N68" s="2" t="e">
        <f>IF(#REF!=#REF!,"","Start")</f>
        <v>#REF!</v>
      </c>
    </row>
    <row r="69" spans="1:14" x14ac:dyDescent="0.55000000000000004">
      <c r="A69" s="11">
        <v>45043.782071759262</v>
      </c>
      <c r="B69" s="12" t="s">
        <v>35</v>
      </c>
      <c r="C69" s="12" t="s">
        <v>0</v>
      </c>
      <c r="D69" s="12" t="s">
        <v>65</v>
      </c>
      <c r="E69" s="12" t="s">
        <v>3</v>
      </c>
      <c r="F69" s="12"/>
      <c r="G69" s="12" t="s">
        <v>1</v>
      </c>
      <c r="H69" s="12" t="s">
        <v>10</v>
      </c>
      <c r="I69" s="12" t="s">
        <v>38</v>
      </c>
      <c r="J69" s="12" t="s">
        <v>2</v>
      </c>
      <c r="L69" s="4" t="e">
        <f>(#REF!-#REF!)</f>
        <v>#REF!</v>
      </c>
      <c r="M69" s="3" t="e">
        <f t="shared" si="3"/>
        <v>#REF!</v>
      </c>
      <c r="N69" s="2" t="e">
        <f>IF(#REF!=#REF!,"","Start")</f>
        <v>#REF!</v>
      </c>
    </row>
    <row r="70" spans="1:14" x14ac:dyDescent="0.55000000000000004">
      <c r="A70" s="11">
        <v>45043.782094907408</v>
      </c>
      <c r="B70" s="12" t="s">
        <v>35</v>
      </c>
      <c r="C70" s="12" t="s">
        <v>0</v>
      </c>
      <c r="D70" s="12" t="s">
        <v>62</v>
      </c>
      <c r="E70" s="12" t="s">
        <v>64</v>
      </c>
      <c r="F70" s="12"/>
      <c r="G70" s="12" t="s">
        <v>1</v>
      </c>
      <c r="H70" s="12" t="s">
        <v>10</v>
      </c>
      <c r="I70" s="12" t="s">
        <v>38</v>
      </c>
      <c r="J70" s="12" t="s">
        <v>2</v>
      </c>
      <c r="L70" s="4" t="e">
        <f>(#REF!-#REF!)</f>
        <v>#REF!</v>
      </c>
      <c r="M70" s="3" t="e">
        <f t="shared" si="3"/>
        <v>#REF!</v>
      </c>
      <c r="N70" s="2" t="e">
        <f>IF(#REF!=#REF!,"","Start")</f>
        <v>#REF!</v>
      </c>
    </row>
    <row r="71" spans="1:14" x14ac:dyDescent="0.55000000000000004">
      <c r="A71" s="11">
        <v>45043.782106481478</v>
      </c>
      <c r="B71" s="12" t="s">
        <v>35</v>
      </c>
      <c r="C71" s="12" t="s">
        <v>0</v>
      </c>
      <c r="D71" s="12" t="s">
        <v>62</v>
      </c>
      <c r="E71" s="12" t="s">
        <v>63</v>
      </c>
      <c r="F71" s="12"/>
      <c r="G71" s="12" t="s">
        <v>1</v>
      </c>
      <c r="H71" s="12" t="s">
        <v>10</v>
      </c>
      <c r="I71" s="12" t="s">
        <v>38</v>
      </c>
      <c r="J71" s="12" t="s">
        <v>2</v>
      </c>
      <c r="L71" s="4" t="e">
        <f>(#REF!-#REF!)</f>
        <v>#REF!</v>
      </c>
      <c r="M71" s="3" t="e">
        <f t="shared" si="3"/>
        <v>#REF!</v>
      </c>
      <c r="N71" s="2" t="e">
        <f>IF(#REF!=#REF!,"","Start")</f>
        <v>#REF!</v>
      </c>
    </row>
    <row r="72" spans="1:14" x14ac:dyDescent="0.55000000000000004">
      <c r="A72" s="11">
        <v>45043.782118055555</v>
      </c>
      <c r="B72" s="12" t="s">
        <v>35</v>
      </c>
      <c r="C72" s="12" t="s">
        <v>0</v>
      </c>
      <c r="D72" s="12" t="s">
        <v>62</v>
      </c>
      <c r="E72" s="12" t="s">
        <v>3</v>
      </c>
      <c r="F72" s="12"/>
      <c r="G72" s="12" t="s">
        <v>1</v>
      </c>
      <c r="H72" s="12" t="s">
        <v>10</v>
      </c>
      <c r="I72" s="12" t="s">
        <v>38</v>
      </c>
      <c r="J72" s="12" t="s">
        <v>2</v>
      </c>
      <c r="L72" s="4" t="e">
        <f>(#REF!-#REF!)</f>
        <v>#REF!</v>
      </c>
      <c r="M72" s="3" t="e">
        <f t="shared" si="3"/>
        <v>#REF!</v>
      </c>
      <c r="N72" s="2" t="e">
        <f>IF(#REF!=#REF!,"","Start")</f>
        <v>#REF!</v>
      </c>
    </row>
    <row r="73" spans="1:14" x14ac:dyDescent="0.55000000000000004">
      <c r="A73" s="11">
        <v>45043.782141203701</v>
      </c>
      <c r="B73" s="12" t="s">
        <v>35</v>
      </c>
      <c r="C73" s="12" t="s">
        <v>0</v>
      </c>
      <c r="D73" s="12" t="s">
        <v>59</v>
      </c>
      <c r="E73" s="12" t="s">
        <v>61</v>
      </c>
      <c r="F73" s="12"/>
      <c r="G73" s="12" t="s">
        <v>1</v>
      </c>
      <c r="H73" s="12" t="s">
        <v>10</v>
      </c>
      <c r="I73" s="12" t="s">
        <v>38</v>
      </c>
      <c r="J73" s="12" t="s">
        <v>2</v>
      </c>
      <c r="L73" s="4" t="e">
        <f>(#REF!-#REF!)</f>
        <v>#REF!</v>
      </c>
      <c r="M73" s="3" t="e">
        <f t="shared" si="3"/>
        <v>#REF!</v>
      </c>
      <c r="N73" s="2" t="e">
        <f>IF(#REF!=#REF!,"","Start")</f>
        <v>#REF!</v>
      </c>
    </row>
    <row r="74" spans="1:14" x14ac:dyDescent="0.55000000000000004">
      <c r="A74" s="11">
        <v>45043.782152777778</v>
      </c>
      <c r="B74" s="12" t="s">
        <v>35</v>
      </c>
      <c r="C74" s="12" t="s">
        <v>0</v>
      </c>
      <c r="D74" s="12" t="s">
        <v>59</v>
      </c>
      <c r="E74" s="12" t="s">
        <v>60</v>
      </c>
      <c r="F74" s="12"/>
      <c r="G74" s="12" t="s">
        <v>1</v>
      </c>
      <c r="H74" s="12" t="s">
        <v>10</v>
      </c>
      <c r="I74" s="12" t="s">
        <v>38</v>
      </c>
      <c r="J74" s="12" t="s">
        <v>2</v>
      </c>
      <c r="L74" s="4" t="e">
        <f>(#REF!-#REF!)</f>
        <v>#REF!</v>
      </c>
      <c r="M74" s="3" t="e">
        <f t="shared" si="3"/>
        <v>#REF!</v>
      </c>
      <c r="N74" s="2" t="e">
        <f>IF(#REF!=#REF!,"","Start")</f>
        <v>#REF!</v>
      </c>
    </row>
    <row r="75" spans="1:14" x14ac:dyDescent="0.55000000000000004">
      <c r="A75" s="11">
        <v>45043.782164351855</v>
      </c>
      <c r="B75" s="12" t="s">
        <v>35</v>
      </c>
      <c r="C75" s="12" t="s">
        <v>0</v>
      </c>
      <c r="D75" s="12" t="s">
        <v>59</v>
      </c>
      <c r="E75" s="12" t="s">
        <v>3</v>
      </c>
      <c r="F75" s="12"/>
      <c r="G75" s="12" t="s">
        <v>1</v>
      </c>
      <c r="H75" s="12" t="s">
        <v>10</v>
      </c>
      <c r="I75" s="12" t="s">
        <v>38</v>
      </c>
      <c r="J75" s="12" t="s">
        <v>2</v>
      </c>
      <c r="L75" s="4" t="e">
        <f>(#REF!-#REF!)</f>
        <v>#REF!</v>
      </c>
      <c r="M75" s="3" t="e">
        <f t="shared" si="3"/>
        <v>#REF!</v>
      </c>
      <c r="N75" s="2" t="e">
        <f>IF(#REF!=#REF!,"","Start")</f>
        <v>#REF!</v>
      </c>
    </row>
    <row r="76" spans="1:14" x14ac:dyDescent="0.55000000000000004">
      <c r="A76" s="11">
        <v>45043.782187500001</v>
      </c>
      <c r="B76" s="12" t="s">
        <v>35</v>
      </c>
      <c r="C76" s="12" t="s">
        <v>0</v>
      </c>
      <c r="D76" s="12" t="s">
        <v>56</v>
      </c>
      <c r="E76" s="12" t="s">
        <v>58</v>
      </c>
      <c r="F76" s="12"/>
      <c r="G76" s="12" t="s">
        <v>1</v>
      </c>
      <c r="H76" s="12" t="s">
        <v>10</v>
      </c>
      <c r="I76" s="12" t="s">
        <v>38</v>
      </c>
      <c r="J76" s="12" t="s">
        <v>2</v>
      </c>
      <c r="L76" s="4" t="e">
        <f>(#REF!-#REF!)</f>
        <v>#REF!</v>
      </c>
      <c r="M76" s="3" t="e">
        <f t="shared" si="3"/>
        <v>#REF!</v>
      </c>
      <c r="N76" s="2" t="e">
        <f>IF(#REF!=#REF!,"","Start")</f>
        <v>#REF!</v>
      </c>
    </row>
    <row r="77" spans="1:14" x14ac:dyDescent="0.55000000000000004">
      <c r="A77" s="11">
        <v>45043.782199074078</v>
      </c>
      <c r="B77" s="12" t="s">
        <v>35</v>
      </c>
      <c r="C77" s="12" t="s">
        <v>0</v>
      </c>
      <c r="D77" s="12" t="s">
        <v>56</v>
      </c>
      <c r="E77" s="12" t="s">
        <v>57</v>
      </c>
      <c r="F77" s="12"/>
      <c r="G77" s="12" t="s">
        <v>1</v>
      </c>
      <c r="H77" s="12" t="s">
        <v>10</v>
      </c>
      <c r="I77" s="12" t="s">
        <v>38</v>
      </c>
      <c r="J77" s="12" t="s">
        <v>2</v>
      </c>
      <c r="L77" s="4" t="e">
        <f>(#REF!-#REF!)</f>
        <v>#REF!</v>
      </c>
      <c r="M77" s="3" t="e">
        <f t="shared" si="3"/>
        <v>#REF!</v>
      </c>
      <c r="N77" s="2" t="e">
        <f>IF(#REF!=#REF!,"","Start")</f>
        <v>#REF!</v>
      </c>
    </row>
    <row r="78" spans="1:14" x14ac:dyDescent="0.55000000000000004">
      <c r="A78" s="11">
        <v>45043.782210648147</v>
      </c>
      <c r="B78" s="12" t="s">
        <v>35</v>
      </c>
      <c r="C78" s="12" t="s">
        <v>0</v>
      </c>
      <c r="D78" s="12" t="s">
        <v>56</v>
      </c>
      <c r="E78" s="12" t="s">
        <v>3</v>
      </c>
      <c r="F78" s="12"/>
      <c r="G78" s="12" t="s">
        <v>1</v>
      </c>
      <c r="H78" s="12" t="s">
        <v>10</v>
      </c>
      <c r="I78" s="12" t="s">
        <v>38</v>
      </c>
      <c r="J78" s="12" t="s">
        <v>2</v>
      </c>
      <c r="L78" s="4" t="e">
        <f>(#REF!-#REF!)</f>
        <v>#REF!</v>
      </c>
      <c r="M78" s="3" t="e">
        <f t="shared" si="3"/>
        <v>#REF!</v>
      </c>
      <c r="N78" s="2" t="e">
        <f>IF(#REF!=#REF!,"","Start")</f>
        <v>#REF!</v>
      </c>
    </row>
    <row r="79" spans="1:14" x14ac:dyDescent="0.55000000000000004">
      <c r="A79" s="11">
        <v>45043.782233796293</v>
      </c>
      <c r="B79" s="12" t="s">
        <v>35</v>
      </c>
      <c r="C79" s="12" t="s">
        <v>0</v>
      </c>
      <c r="D79" s="12" t="s">
        <v>52</v>
      </c>
      <c r="E79" s="12" t="s">
        <v>55</v>
      </c>
      <c r="F79" s="12" t="s">
        <v>43</v>
      </c>
      <c r="G79" s="12" t="s">
        <v>1</v>
      </c>
      <c r="H79" s="12" t="s">
        <v>10</v>
      </c>
      <c r="I79" s="12" t="s">
        <v>38</v>
      </c>
      <c r="J79" s="12" t="s">
        <v>2</v>
      </c>
      <c r="L79" s="4" t="e">
        <f>(#REF!-#REF!)</f>
        <v>#REF!</v>
      </c>
      <c r="M79" s="3" t="e">
        <f t="shared" si="3"/>
        <v>#REF!</v>
      </c>
      <c r="N79" s="2" t="e">
        <f>IF(#REF!=#REF!,"","Start")</f>
        <v>#REF!</v>
      </c>
    </row>
    <row r="80" spans="1:14" x14ac:dyDescent="0.55000000000000004">
      <c r="A80" s="11">
        <v>45043.782256944447</v>
      </c>
      <c r="B80" s="12" t="s">
        <v>35</v>
      </c>
      <c r="C80" s="12" t="s">
        <v>0</v>
      </c>
      <c r="D80" s="12" t="s">
        <v>52</v>
      </c>
      <c r="E80" s="12" t="s">
        <v>54</v>
      </c>
      <c r="F80" s="12" t="s">
        <v>43</v>
      </c>
      <c r="G80" s="12" t="s">
        <v>1</v>
      </c>
      <c r="H80" s="12" t="s">
        <v>10</v>
      </c>
      <c r="I80" s="12" t="s">
        <v>38</v>
      </c>
      <c r="J80" s="12" t="s">
        <v>2</v>
      </c>
      <c r="L80" s="4" t="e">
        <f>(#REF!-#REF!)</f>
        <v>#REF!</v>
      </c>
      <c r="M80" s="3" t="e">
        <f t="shared" si="3"/>
        <v>#REF!</v>
      </c>
      <c r="N80" s="2" t="e">
        <f>IF(#REF!=#REF!,"","Start")</f>
        <v>#REF!</v>
      </c>
    </row>
    <row r="81" spans="1:14" x14ac:dyDescent="0.55000000000000004">
      <c r="A81" s="11">
        <v>45043.782268518517</v>
      </c>
      <c r="B81" s="12" t="s">
        <v>35</v>
      </c>
      <c r="C81" s="12" t="s">
        <v>0</v>
      </c>
      <c r="D81" s="12" t="s">
        <v>52</v>
      </c>
      <c r="E81" s="12" t="s">
        <v>53</v>
      </c>
      <c r="F81" s="12" t="s">
        <v>43</v>
      </c>
      <c r="G81" s="12" t="s">
        <v>1</v>
      </c>
      <c r="H81" s="12" t="s">
        <v>10</v>
      </c>
      <c r="I81" s="12" t="s">
        <v>38</v>
      </c>
      <c r="J81" s="12" t="s">
        <v>2</v>
      </c>
      <c r="L81" s="4" t="e">
        <f>(#REF!-#REF!)</f>
        <v>#REF!</v>
      </c>
      <c r="M81" s="3" t="e">
        <f t="shared" si="3"/>
        <v>#REF!</v>
      </c>
      <c r="N81" s="2" t="e">
        <f>IF(#REF!=#REF!,"","Start")</f>
        <v>#REF!</v>
      </c>
    </row>
    <row r="82" spans="1:14" x14ac:dyDescent="0.55000000000000004">
      <c r="A82" s="11">
        <v>45043.78229166667</v>
      </c>
      <c r="B82" s="12" t="s">
        <v>35</v>
      </c>
      <c r="C82" s="12" t="s">
        <v>0</v>
      </c>
      <c r="D82" s="12" t="s">
        <v>52</v>
      </c>
      <c r="E82" s="12" t="s">
        <v>3</v>
      </c>
      <c r="F82" s="12"/>
      <c r="G82" s="12" t="s">
        <v>1</v>
      </c>
      <c r="H82" s="12" t="s">
        <v>10</v>
      </c>
      <c r="I82" s="12" t="s">
        <v>38</v>
      </c>
      <c r="J82" s="12" t="s">
        <v>2</v>
      </c>
      <c r="L82" s="4" t="e">
        <f>(#REF!-#REF!)</f>
        <v>#REF!</v>
      </c>
      <c r="M82" s="3" t="e">
        <f t="shared" si="3"/>
        <v>#REF!</v>
      </c>
      <c r="N82" s="2" t="e">
        <f>IF(#REF!=#REF!,"","Start")</f>
        <v>#REF!</v>
      </c>
    </row>
    <row r="83" spans="1:14" x14ac:dyDescent="0.55000000000000004">
      <c r="A83" s="11">
        <v>45043.782314814816</v>
      </c>
      <c r="B83" s="12" t="s">
        <v>35</v>
      </c>
      <c r="C83" s="12" t="s">
        <v>0</v>
      </c>
      <c r="D83" s="12" t="s">
        <v>49</v>
      </c>
      <c r="E83" s="12" t="s">
        <v>51</v>
      </c>
      <c r="F83" s="12" t="s">
        <v>43</v>
      </c>
      <c r="G83" s="12" t="s">
        <v>1</v>
      </c>
      <c r="H83" s="12" t="s">
        <v>10</v>
      </c>
      <c r="I83" s="12" t="s">
        <v>38</v>
      </c>
      <c r="J83" s="12" t="s">
        <v>2</v>
      </c>
      <c r="L83" s="4" t="e">
        <f>(#REF!-#REF!)</f>
        <v>#REF!</v>
      </c>
      <c r="M83" s="3" t="e">
        <f t="shared" si="3"/>
        <v>#REF!</v>
      </c>
      <c r="N83" s="2" t="e">
        <f>IF(#REF!=#REF!,"","Start")</f>
        <v>#REF!</v>
      </c>
    </row>
    <row r="84" spans="1:14" x14ac:dyDescent="0.55000000000000004">
      <c r="A84" s="11">
        <v>45043.782337962963</v>
      </c>
      <c r="B84" s="12" t="s">
        <v>35</v>
      </c>
      <c r="C84" s="12" t="s">
        <v>0</v>
      </c>
      <c r="D84" s="12" t="s">
        <v>49</v>
      </c>
      <c r="E84" s="12" t="s">
        <v>50</v>
      </c>
      <c r="F84" s="12" t="s">
        <v>43</v>
      </c>
      <c r="G84" s="12" t="s">
        <v>1</v>
      </c>
      <c r="H84" s="12" t="s">
        <v>10</v>
      </c>
      <c r="I84" s="12" t="s">
        <v>38</v>
      </c>
      <c r="J84" s="12" t="s">
        <v>2</v>
      </c>
      <c r="L84" s="4" t="e">
        <f>(#REF!-#REF!)</f>
        <v>#REF!</v>
      </c>
      <c r="M84" s="3" t="e">
        <f t="shared" si="3"/>
        <v>#REF!</v>
      </c>
      <c r="N84" s="2" t="e">
        <f>IF(#REF!=#REF!,"","Start")</f>
        <v>#REF!</v>
      </c>
    </row>
    <row r="85" spans="1:14" x14ac:dyDescent="0.55000000000000004">
      <c r="A85" s="11">
        <v>45043.782349537039</v>
      </c>
      <c r="B85" s="12" t="s">
        <v>35</v>
      </c>
      <c r="C85" s="12" t="s">
        <v>0</v>
      </c>
      <c r="D85" s="12" t="s">
        <v>49</v>
      </c>
      <c r="E85" s="12" t="s">
        <v>3</v>
      </c>
      <c r="F85" s="12"/>
      <c r="G85" s="12" t="s">
        <v>1</v>
      </c>
      <c r="H85" s="12" t="s">
        <v>10</v>
      </c>
      <c r="I85" s="12" t="s">
        <v>38</v>
      </c>
      <c r="J85" s="12" t="s">
        <v>2</v>
      </c>
      <c r="L85" s="4" t="e">
        <f>(#REF!-#REF!)</f>
        <v>#REF!</v>
      </c>
      <c r="M85" s="3" t="e">
        <f t="shared" si="3"/>
        <v>#REF!</v>
      </c>
      <c r="N85" s="2" t="e">
        <f>IF(#REF!=#REF!,"","Start")</f>
        <v>#REF!</v>
      </c>
    </row>
    <row r="86" spans="1:14" x14ac:dyDescent="0.55000000000000004">
      <c r="A86" s="11">
        <v>45043.782395833332</v>
      </c>
      <c r="B86" s="12" t="s">
        <v>35</v>
      </c>
      <c r="C86" s="12" t="s">
        <v>0</v>
      </c>
      <c r="D86" s="12" t="s">
        <v>46</v>
      </c>
      <c r="E86" s="12" t="s">
        <v>48</v>
      </c>
      <c r="F86" s="12" t="s">
        <v>43</v>
      </c>
      <c r="G86" s="12" t="s">
        <v>1</v>
      </c>
      <c r="H86" s="12" t="s">
        <v>10</v>
      </c>
      <c r="I86" s="12" t="s">
        <v>38</v>
      </c>
      <c r="J86" s="12" t="s">
        <v>2</v>
      </c>
      <c r="L86" s="4" t="e">
        <f>(#REF!-#REF!)</f>
        <v>#REF!</v>
      </c>
      <c r="M86" s="3" t="e">
        <f t="shared" si="3"/>
        <v>#REF!</v>
      </c>
      <c r="N86" s="2" t="e">
        <f>IF(#REF!=#REF!,"","Start")</f>
        <v>#REF!</v>
      </c>
    </row>
    <row r="87" spans="1:14" x14ac:dyDescent="0.55000000000000004">
      <c r="A87" s="11">
        <v>45043.782407407409</v>
      </c>
      <c r="B87" s="12" t="s">
        <v>35</v>
      </c>
      <c r="C87" s="12" t="s">
        <v>0</v>
      </c>
      <c r="D87" s="12" t="s">
        <v>46</v>
      </c>
      <c r="E87" s="12" t="s">
        <v>47</v>
      </c>
      <c r="F87" s="12" t="s">
        <v>43</v>
      </c>
      <c r="G87" s="12" t="s">
        <v>1</v>
      </c>
      <c r="H87" s="12" t="s">
        <v>10</v>
      </c>
      <c r="I87" s="12" t="s">
        <v>38</v>
      </c>
      <c r="J87" s="12" t="s">
        <v>2</v>
      </c>
      <c r="L87" s="4" t="e">
        <f>(#REF!-#REF!)</f>
        <v>#REF!</v>
      </c>
      <c r="M87" s="3" t="e">
        <f t="shared" si="3"/>
        <v>#REF!</v>
      </c>
      <c r="N87" s="2" t="e">
        <f>IF(#REF!=#REF!,"","Start")</f>
        <v>#REF!</v>
      </c>
    </row>
    <row r="88" spans="1:14" x14ac:dyDescent="0.55000000000000004">
      <c r="A88" s="11">
        <v>45043.782430555555</v>
      </c>
      <c r="B88" s="12" t="s">
        <v>35</v>
      </c>
      <c r="C88" s="12" t="s">
        <v>0</v>
      </c>
      <c r="D88" s="12" t="s">
        <v>46</v>
      </c>
      <c r="E88" s="12" t="s">
        <v>3</v>
      </c>
      <c r="F88" s="12"/>
      <c r="G88" s="12" t="s">
        <v>1</v>
      </c>
      <c r="H88" s="12" t="s">
        <v>10</v>
      </c>
      <c r="I88" s="12" t="s">
        <v>38</v>
      </c>
      <c r="J88" s="12" t="s">
        <v>2</v>
      </c>
      <c r="L88" s="4" t="e">
        <f>(#REF!-#REF!)</f>
        <v>#REF!</v>
      </c>
      <c r="M88" s="3" t="e">
        <f t="shared" si="3"/>
        <v>#REF!</v>
      </c>
      <c r="N88" s="2" t="e">
        <f>IF(#REF!=#REF!,"","Start")</f>
        <v>#REF!</v>
      </c>
    </row>
    <row r="89" spans="1:14" x14ac:dyDescent="0.55000000000000004">
      <c r="A89" s="11">
        <v>45043.782453703701</v>
      </c>
      <c r="B89" s="12" t="s">
        <v>35</v>
      </c>
      <c r="C89" s="12" t="s">
        <v>0</v>
      </c>
      <c r="D89" s="12" t="s">
        <v>44</v>
      </c>
      <c r="E89" s="12" t="s">
        <v>45</v>
      </c>
      <c r="F89" s="12" t="s">
        <v>43</v>
      </c>
      <c r="G89" s="12" t="s">
        <v>1</v>
      </c>
      <c r="H89" s="12" t="s">
        <v>10</v>
      </c>
      <c r="I89" s="12" t="s">
        <v>38</v>
      </c>
      <c r="J89" s="12" t="s">
        <v>2</v>
      </c>
      <c r="L89" s="4" t="e">
        <f>(#REF!-#REF!)</f>
        <v>#REF!</v>
      </c>
      <c r="M89" s="3" t="e">
        <f t="shared" si="3"/>
        <v>#REF!</v>
      </c>
      <c r="N89" s="2" t="e">
        <f>IF(#REF!=#REF!,"","Start")</f>
        <v>#REF!</v>
      </c>
    </row>
    <row r="90" spans="1:14" x14ac:dyDescent="0.55000000000000004">
      <c r="A90" s="11">
        <v>45043.782465277778</v>
      </c>
      <c r="B90" s="12" t="s">
        <v>35</v>
      </c>
      <c r="C90" s="12" t="s">
        <v>0</v>
      </c>
      <c r="D90" s="12" t="s">
        <v>44</v>
      </c>
      <c r="E90" s="12" t="s">
        <v>3</v>
      </c>
      <c r="F90" s="12"/>
      <c r="G90" s="12" t="s">
        <v>1</v>
      </c>
      <c r="H90" s="12" t="s">
        <v>10</v>
      </c>
      <c r="I90" s="12" t="s">
        <v>38</v>
      </c>
      <c r="J90" s="12" t="s">
        <v>2</v>
      </c>
      <c r="L90" s="4" t="e">
        <f>(#REF!-#REF!)</f>
        <v>#REF!</v>
      </c>
      <c r="M90" s="3" t="e">
        <f t="shared" si="3"/>
        <v>#REF!</v>
      </c>
      <c r="N90" s="2" t="e">
        <f>IF(#REF!=#REF!,"","Start")</f>
        <v>#REF!</v>
      </c>
    </row>
    <row r="91" spans="1:14" x14ac:dyDescent="0.55000000000000004">
      <c r="A91" s="11">
        <v>45043.782500000001</v>
      </c>
      <c r="B91" s="12" t="s">
        <v>35</v>
      </c>
      <c r="C91" s="12" t="s">
        <v>0</v>
      </c>
      <c r="D91" s="12" t="s">
        <v>41</v>
      </c>
      <c r="E91" s="12" t="s">
        <v>42</v>
      </c>
      <c r="F91" s="12" t="s">
        <v>43</v>
      </c>
      <c r="G91" s="12" t="s">
        <v>1</v>
      </c>
      <c r="H91" s="12" t="s">
        <v>10</v>
      </c>
      <c r="I91" s="12" t="s">
        <v>38</v>
      </c>
      <c r="J91" s="12" t="s">
        <v>2</v>
      </c>
      <c r="L91" s="4" t="e">
        <f>(#REF!-#REF!)</f>
        <v>#REF!</v>
      </c>
      <c r="M91" s="3" t="e">
        <f t="shared" si="3"/>
        <v>#REF!</v>
      </c>
      <c r="N91" s="2" t="e">
        <f>IF(#REF!=#REF!,"","Start")</f>
        <v>#REF!</v>
      </c>
    </row>
    <row r="92" spans="1:14" x14ac:dyDescent="0.55000000000000004">
      <c r="A92" s="11">
        <v>45043.782511574071</v>
      </c>
      <c r="B92" s="12" t="s">
        <v>35</v>
      </c>
      <c r="C92" s="12" t="s">
        <v>0</v>
      </c>
      <c r="D92" s="12" t="s">
        <v>41</v>
      </c>
      <c r="E92" s="12" t="s">
        <v>3</v>
      </c>
      <c r="F92" s="12"/>
      <c r="G92" s="12" t="s">
        <v>1</v>
      </c>
      <c r="H92" s="12" t="s">
        <v>10</v>
      </c>
      <c r="I92" s="12" t="s">
        <v>38</v>
      </c>
      <c r="J92" s="12" t="s">
        <v>2</v>
      </c>
      <c r="L92" s="4" t="e">
        <f>(#REF!-#REF!)</f>
        <v>#REF!</v>
      </c>
      <c r="M92" s="3" t="e">
        <f t="shared" si="3"/>
        <v>#REF!</v>
      </c>
      <c r="N92" s="2" t="e">
        <f>IF(#REF!=#REF!,"","Start")</f>
        <v>#REF!</v>
      </c>
    </row>
    <row r="93" spans="1:14" x14ac:dyDescent="0.55000000000000004">
      <c r="A93" s="11">
        <v>45043.782557870371</v>
      </c>
      <c r="B93" s="12" t="s">
        <v>35</v>
      </c>
      <c r="C93" s="12" t="s">
        <v>0</v>
      </c>
      <c r="D93" s="12" t="s">
        <v>36</v>
      </c>
      <c r="E93" s="12" t="s">
        <v>37</v>
      </c>
      <c r="F93" s="12"/>
      <c r="G93" s="12" t="s">
        <v>1</v>
      </c>
      <c r="H93" s="12" t="s">
        <v>10</v>
      </c>
      <c r="I93" s="12" t="s">
        <v>38</v>
      </c>
      <c r="J93" s="12" t="s">
        <v>2</v>
      </c>
      <c r="L93" s="4" t="e">
        <f>(#REF!-#REF!)</f>
        <v>#REF!</v>
      </c>
      <c r="M93" s="3" t="e">
        <f t="shared" si="3"/>
        <v>#REF!</v>
      </c>
      <c r="N93" s="2" t="e">
        <f>IF(#REF!=#REF!,"","Start")</f>
        <v>#REF!</v>
      </c>
    </row>
    <row r="94" spans="1:14" x14ac:dyDescent="0.55000000000000004">
      <c r="A94" s="11">
        <v>45043.782557870371</v>
      </c>
      <c r="B94" s="12" t="s">
        <v>35</v>
      </c>
      <c r="C94" s="12" t="s">
        <v>12</v>
      </c>
      <c r="D94" s="12" t="s">
        <v>36</v>
      </c>
      <c r="E94" s="12" t="s">
        <v>39</v>
      </c>
      <c r="F94" s="12" t="s">
        <v>40</v>
      </c>
      <c r="G94" s="12" t="s">
        <v>1</v>
      </c>
      <c r="H94" s="12" t="s">
        <v>10</v>
      </c>
      <c r="I94" s="12" t="s">
        <v>38</v>
      </c>
      <c r="J94" s="12" t="s">
        <v>2</v>
      </c>
      <c r="L94" s="4" t="e">
        <f>(#REF!-#REF!)</f>
        <v>#REF!</v>
      </c>
      <c r="M94" s="3" t="e">
        <f t="shared" si="3"/>
        <v>#REF!</v>
      </c>
      <c r="N94" s="2" t="e">
        <f>IF(#REF!=#REF!,"","Start")</f>
        <v>#REF!</v>
      </c>
    </row>
    <row r="95" spans="1:14" x14ac:dyDescent="0.55000000000000004">
      <c r="A95" s="11">
        <v>45048.391331018516</v>
      </c>
      <c r="B95" s="12" t="s">
        <v>191</v>
      </c>
      <c r="C95" s="12" t="s">
        <v>0</v>
      </c>
      <c r="D95" s="12" t="s">
        <v>34</v>
      </c>
      <c r="E95" s="12" t="s">
        <v>5</v>
      </c>
      <c r="F95" s="12"/>
      <c r="G95" s="12" t="s">
        <v>1</v>
      </c>
      <c r="H95" s="12" t="s">
        <v>10</v>
      </c>
      <c r="I95" s="12" t="s">
        <v>38</v>
      </c>
      <c r="J95" s="12" t="s">
        <v>2</v>
      </c>
      <c r="L95" s="4" t="e">
        <f>(#REF!-#REF!)</f>
        <v>#REF!</v>
      </c>
      <c r="M95" s="3" t="e">
        <f t="shared" si="3"/>
        <v>#REF!</v>
      </c>
      <c r="N95" s="2" t="e">
        <f>IF(#REF!=#REF!,"","Start")</f>
        <v>#REF!</v>
      </c>
    </row>
    <row r="96" spans="1:14" x14ac:dyDescent="0.55000000000000004">
      <c r="A96" s="11">
        <v>45048.391388888886</v>
      </c>
      <c r="B96" s="12" t="s">
        <v>191</v>
      </c>
      <c r="C96" s="12" t="s">
        <v>0</v>
      </c>
      <c r="D96" s="12" t="s">
        <v>33</v>
      </c>
      <c r="E96" s="12" t="s">
        <v>4</v>
      </c>
      <c r="F96" s="12"/>
      <c r="G96" s="12" t="s">
        <v>1</v>
      </c>
      <c r="H96" s="12" t="s">
        <v>10</v>
      </c>
      <c r="I96" s="12" t="s">
        <v>38</v>
      </c>
      <c r="J96" s="12" t="s">
        <v>2</v>
      </c>
      <c r="L96" s="4" t="e">
        <f>(#REF!-#REF!)</f>
        <v>#REF!</v>
      </c>
      <c r="M96" s="3" t="e">
        <f t="shared" si="3"/>
        <v>#REF!</v>
      </c>
      <c r="N96" s="2" t="e">
        <f>IF(#REF!=#REF!,"","Start")</f>
        <v>#REF!</v>
      </c>
    </row>
    <row r="97" spans="1:15" x14ac:dyDescent="0.55000000000000004">
      <c r="A97" s="11">
        <v>45048.391435185185</v>
      </c>
      <c r="B97" s="12" t="s">
        <v>191</v>
      </c>
      <c r="C97" s="12" t="s">
        <v>0</v>
      </c>
      <c r="D97" s="12" t="s">
        <v>32</v>
      </c>
      <c r="E97" s="12" t="s">
        <v>7</v>
      </c>
      <c r="F97" s="12"/>
      <c r="G97" s="12" t="s">
        <v>1</v>
      </c>
      <c r="H97" s="12" t="s">
        <v>10</v>
      </c>
      <c r="I97" s="12" t="s">
        <v>38</v>
      </c>
      <c r="J97" s="12" t="s">
        <v>2</v>
      </c>
      <c r="L97" s="4" t="e">
        <f>(#REF!-#REF!)</f>
        <v>#REF!</v>
      </c>
      <c r="M97" s="3" t="e">
        <f t="shared" si="3"/>
        <v>#REF!</v>
      </c>
      <c r="N97" s="2" t="e">
        <f>IF(#REF!=#REF!,"","Start")</f>
        <v>#REF!</v>
      </c>
    </row>
    <row r="98" spans="1:15" x14ac:dyDescent="0.55000000000000004">
      <c r="A98" s="11">
        <v>45048.391446759262</v>
      </c>
      <c r="B98" s="12" t="s">
        <v>191</v>
      </c>
      <c r="C98" s="12" t="s">
        <v>0</v>
      </c>
      <c r="D98" s="12" t="s">
        <v>32</v>
      </c>
      <c r="E98" s="12" t="s">
        <v>3</v>
      </c>
      <c r="F98" s="12"/>
      <c r="G98" s="12" t="s">
        <v>1</v>
      </c>
      <c r="H98" s="12" t="s">
        <v>10</v>
      </c>
      <c r="I98" s="12" t="s">
        <v>38</v>
      </c>
      <c r="J98" s="12" t="s">
        <v>2</v>
      </c>
      <c r="L98" s="4" t="e">
        <f>(#REF!-#REF!)</f>
        <v>#REF!</v>
      </c>
      <c r="M98" s="3" t="e">
        <f t="shared" si="3"/>
        <v>#REF!</v>
      </c>
      <c r="N98" s="2" t="e">
        <f>IF(#REF!=#REF!,"","Start")</f>
        <v>#REF!</v>
      </c>
    </row>
    <row r="99" spans="1:15" x14ac:dyDescent="0.55000000000000004">
      <c r="A99" s="11">
        <v>45048.391469907408</v>
      </c>
      <c r="B99" s="12" t="s">
        <v>191</v>
      </c>
      <c r="C99" s="12" t="s">
        <v>0</v>
      </c>
      <c r="D99" s="12" t="s">
        <v>31</v>
      </c>
      <c r="E99" s="12" t="s">
        <v>6</v>
      </c>
      <c r="F99" s="12"/>
      <c r="G99" s="12" t="s">
        <v>1</v>
      </c>
      <c r="H99" s="12" t="s">
        <v>10</v>
      </c>
      <c r="I99" s="12" t="s">
        <v>38</v>
      </c>
      <c r="J99" s="12" t="s">
        <v>2</v>
      </c>
      <c r="L99" s="4" t="e">
        <f>(#REF!-#REF!)</f>
        <v>#REF!</v>
      </c>
      <c r="M99" s="3" t="e">
        <f t="shared" si="3"/>
        <v>#REF!</v>
      </c>
      <c r="N99" s="2" t="e">
        <f>IF(#REF!=#REF!,"","Start")</f>
        <v>#REF!</v>
      </c>
    </row>
    <row r="100" spans="1:15" x14ac:dyDescent="0.55000000000000004">
      <c r="A100" s="11">
        <v>45048.391504629632</v>
      </c>
      <c r="B100" s="12" t="s">
        <v>191</v>
      </c>
      <c r="C100" s="12" t="s">
        <v>0</v>
      </c>
      <c r="D100" s="12" t="s">
        <v>31</v>
      </c>
      <c r="E100" s="12" t="s">
        <v>3</v>
      </c>
      <c r="F100" s="12"/>
      <c r="G100" s="12" t="s">
        <v>1</v>
      </c>
      <c r="H100" s="12" t="s">
        <v>10</v>
      </c>
      <c r="I100" s="12" t="s">
        <v>38</v>
      </c>
      <c r="J100" s="12" t="s">
        <v>2</v>
      </c>
      <c r="L100" s="4" t="e">
        <f>(#REF!-#REF!)</f>
        <v>#REF!</v>
      </c>
      <c r="M100" s="3" t="e">
        <f t="shared" si="3"/>
        <v>#REF!</v>
      </c>
      <c r="N100" s="2" t="e">
        <f>IF(#REF!=#REF!,"","Start")</f>
        <v>#REF!</v>
      </c>
    </row>
    <row r="101" spans="1:15" x14ac:dyDescent="0.55000000000000004">
      <c r="A101" s="11">
        <v>45048.391608796293</v>
      </c>
      <c r="B101" s="12" t="s">
        <v>191</v>
      </c>
      <c r="C101" s="12" t="s">
        <v>0</v>
      </c>
      <c r="D101" s="12" t="s">
        <v>30</v>
      </c>
      <c r="E101" s="12" t="s">
        <v>11</v>
      </c>
      <c r="F101" s="12"/>
      <c r="G101" s="12" t="s">
        <v>1</v>
      </c>
      <c r="H101" s="12" t="s">
        <v>10</v>
      </c>
      <c r="I101" s="12" t="s">
        <v>38</v>
      </c>
      <c r="J101" s="12" t="s">
        <v>2</v>
      </c>
      <c r="L101" s="4" t="e">
        <f>(#REF!-#REF!)</f>
        <v>#REF!</v>
      </c>
      <c r="M101" s="3" t="e">
        <f t="shared" si="3"/>
        <v>#REF!</v>
      </c>
      <c r="N101" s="2" t="e">
        <f>IF(#REF!=#REF!,"","Start")</f>
        <v>#REF!</v>
      </c>
      <c r="O101" s="7"/>
    </row>
    <row r="102" spans="1:15" x14ac:dyDescent="0.55000000000000004">
      <c r="A102" s="11">
        <v>45048.39162037037</v>
      </c>
      <c r="B102" s="12" t="s">
        <v>191</v>
      </c>
      <c r="C102" s="12" t="s">
        <v>0</v>
      </c>
      <c r="D102" s="12" t="s">
        <v>30</v>
      </c>
      <c r="E102" s="12" t="s">
        <v>3</v>
      </c>
      <c r="F102" s="12"/>
      <c r="G102" s="12" t="s">
        <v>1</v>
      </c>
      <c r="H102" s="12" t="s">
        <v>10</v>
      </c>
      <c r="I102" s="12" t="s">
        <v>38</v>
      </c>
      <c r="J102" s="12" t="s">
        <v>2</v>
      </c>
      <c r="L102" s="4" t="e">
        <f>(#REF!-#REF!)</f>
        <v>#REF!</v>
      </c>
      <c r="M102" s="3" t="e">
        <f t="shared" si="3"/>
        <v>#REF!</v>
      </c>
      <c r="N102" s="2" t="e">
        <f>IF(#REF!=#REF!,"","Start")</f>
        <v>#REF!</v>
      </c>
    </row>
    <row r="103" spans="1:15" x14ac:dyDescent="0.55000000000000004">
      <c r="A103" s="11">
        <v>45048.39166666667</v>
      </c>
      <c r="B103" s="12" t="s">
        <v>191</v>
      </c>
      <c r="C103" s="12" t="s">
        <v>0</v>
      </c>
      <c r="D103" s="12" t="s">
        <v>29</v>
      </c>
      <c r="E103" s="12" t="s">
        <v>3</v>
      </c>
      <c r="F103" s="12"/>
      <c r="G103" s="12" t="s">
        <v>1</v>
      </c>
      <c r="H103" s="12" t="s">
        <v>10</v>
      </c>
      <c r="I103" s="12" t="s">
        <v>38</v>
      </c>
      <c r="J103" s="12" t="s">
        <v>2</v>
      </c>
      <c r="L103" s="4" t="e">
        <f>(#REF!-#REF!)</f>
        <v>#REF!</v>
      </c>
      <c r="M103" s="3" t="e">
        <f t="shared" si="3"/>
        <v>#REF!</v>
      </c>
      <c r="N103" s="2" t="e">
        <f>IF(#REF!=#REF!,"","Start")</f>
        <v>#REF!</v>
      </c>
    </row>
    <row r="104" spans="1:15" x14ac:dyDescent="0.55000000000000004">
      <c r="A104" s="11">
        <v>45048.39166666667</v>
      </c>
      <c r="B104" s="12" t="s">
        <v>191</v>
      </c>
      <c r="C104" s="12" t="s">
        <v>12</v>
      </c>
      <c r="D104" s="12" t="s">
        <v>29</v>
      </c>
      <c r="E104" s="12" t="s">
        <v>13</v>
      </c>
      <c r="F104" s="12" t="s">
        <v>201</v>
      </c>
      <c r="G104" s="12" t="s">
        <v>1</v>
      </c>
      <c r="H104" s="12" t="s">
        <v>10</v>
      </c>
      <c r="I104" s="12" t="s">
        <v>38</v>
      </c>
      <c r="J104" s="12" t="s">
        <v>2</v>
      </c>
      <c r="L104" s="4" t="e">
        <f>(#REF!-#REF!)</f>
        <v>#REF!</v>
      </c>
      <c r="M104" s="3" t="e">
        <f t="shared" si="3"/>
        <v>#REF!</v>
      </c>
      <c r="N104" s="2" t="e">
        <f>IF(#REF!=#REF!,"","Start")</f>
        <v>#REF!</v>
      </c>
    </row>
    <row r="105" spans="1:15" x14ac:dyDescent="0.55000000000000004">
      <c r="A105" s="11">
        <v>45048.391701388886</v>
      </c>
      <c r="B105" s="12" t="s">
        <v>191</v>
      </c>
      <c r="C105" s="12" t="s">
        <v>0</v>
      </c>
      <c r="D105" s="12" t="s">
        <v>28</v>
      </c>
      <c r="E105" s="12" t="s">
        <v>99</v>
      </c>
      <c r="F105" s="12"/>
      <c r="G105" s="12" t="s">
        <v>1</v>
      </c>
      <c r="H105" s="12" t="s">
        <v>10</v>
      </c>
      <c r="I105" s="12" t="s">
        <v>38</v>
      </c>
      <c r="J105" s="12" t="s">
        <v>2</v>
      </c>
      <c r="L105" s="4" t="e">
        <f>(#REF!-#REF!)</f>
        <v>#REF!</v>
      </c>
      <c r="M105" s="3" t="e">
        <f t="shared" si="3"/>
        <v>#REF!</v>
      </c>
      <c r="N105" s="2" t="e">
        <f>IF(#REF!=#REF!,"","Start")</f>
        <v>#REF!</v>
      </c>
    </row>
    <row r="106" spans="1:15" x14ac:dyDescent="0.55000000000000004">
      <c r="A106" s="11">
        <v>45048.391712962963</v>
      </c>
      <c r="B106" s="12" t="s">
        <v>191</v>
      </c>
      <c r="C106" s="12" t="s">
        <v>0</v>
      </c>
      <c r="D106" s="12" t="s">
        <v>28</v>
      </c>
      <c r="E106" s="12" t="s">
        <v>3</v>
      </c>
      <c r="F106" s="12"/>
      <c r="G106" s="12" t="s">
        <v>1</v>
      </c>
      <c r="H106" s="12" t="s">
        <v>10</v>
      </c>
      <c r="I106" s="12" t="s">
        <v>38</v>
      </c>
      <c r="J106" s="12" t="s">
        <v>2</v>
      </c>
      <c r="L106" s="4" t="e">
        <f>(#REF!-#REF!)</f>
        <v>#REF!</v>
      </c>
      <c r="M106" s="3" t="e">
        <f t="shared" si="3"/>
        <v>#REF!</v>
      </c>
      <c r="N106" s="2" t="e">
        <f>IF(#REF!=#REF!,"","Start")</f>
        <v>#REF!</v>
      </c>
    </row>
    <row r="107" spans="1:15" x14ac:dyDescent="0.55000000000000004">
      <c r="A107" s="11">
        <v>45048.391736111109</v>
      </c>
      <c r="B107" s="12" t="s">
        <v>191</v>
      </c>
      <c r="C107" s="12" t="s">
        <v>0</v>
      </c>
      <c r="D107" s="12" t="s">
        <v>97</v>
      </c>
      <c r="E107" s="12" t="s">
        <v>98</v>
      </c>
      <c r="F107" s="12"/>
      <c r="G107" s="12" t="s">
        <v>1</v>
      </c>
      <c r="H107" s="12" t="s">
        <v>10</v>
      </c>
      <c r="I107" s="12" t="s">
        <v>38</v>
      </c>
      <c r="J107" s="12" t="s">
        <v>2</v>
      </c>
      <c r="L107" s="4" t="e">
        <f>(#REF!-#REF!)</f>
        <v>#REF!</v>
      </c>
      <c r="M107" s="3" t="e">
        <f t="shared" si="3"/>
        <v>#REF!</v>
      </c>
      <c r="N107" s="2" t="e">
        <f>IF(#REF!=#REF!,"","Start")</f>
        <v>#REF!</v>
      </c>
    </row>
    <row r="108" spans="1:15" x14ac:dyDescent="0.55000000000000004">
      <c r="A108" s="11">
        <v>45048.391747685186</v>
      </c>
      <c r="B108" s="12" t="s">
        <v>191</v>
      </c>
      <c r="C108" s="12" t="s">
        <v>0</v>
      </c>
      <c r="D108" s="12" t="s">
        <v>97</v>
      </c>
      <c r="E108" s="12" t="s">
        <v>3</v>
      </c>
      <c r="F108" s="12"/>
      <c r="G108" s="12" t="s">
        <v>1</v>
      </c>
      <c r="H108" s="12" t="s">
        <v>10</v>
      </c>
      <c r="I108" s="12" t="s">
        <v>38</v>
      </c>
      <c r="J108" s="12" t="s">
        <v>2</v>
      </c>
      <c r="L108" s="4" t="e">
        <f>(#REF!-#REF!)</f>
        <v>#REF!</v>
      </c>
      <c r="M108" s="3" t="e">
        <f t="shared" si="3"/>
        <v>#REF!</v>
      </c>
      <c r="N108" s="2" t="e">
        <f>IF(#REF!=#REF!,"","Start")</f>
        <v>#REF!</v>
      </c>
    </row>
    <row r="109" spans="1:15" x14ac:dyDescent="0.55000000000000004">
      <c r="A109" s="11">
        <v>45048.391805555555</v>
      </c>
      <c r="B109" s="12" t="s">
        <v>191</v>
      </c>
      <c r="C109" s="12" t="s">
        <v>0</v>
      </c>
      <c r="D109" s="12" t="s">
        <v>95</v>
      </c>
      <c r="E109" s="12" t="s">
        <v>8</v>
      </c>
      <c r="F109" s="12"/>
      <c r="G109" s="12" t="s">
        <v>1</v>
      </c>
      <c r="H109" s="12" t="s">
        <v>10</v>
      </c>
      <c r="I109" s="12" t="s">
        <v>38</v>
      </c>
      <c r="J109" s="12" t="s">
        <v>2</v>
      </c>
      <c r="L109" s="4" t="e">
        <f>(#REF!-#REF!)</f>
        <v>#REF!</v>
      </c>
      <c r="M109" s="3" t="e">
        <f t="shared" si="3"/>
        <v>#REF!</v>
      </c>
      <c r="N109" s="2" t="e">
        <f>IF(#REF!=#REF!,"","Start")</f>
        <v>#REF!</v>
      </c>
    </row>
    <row r="110" spans="1:15" x14ac:dyDescent="0.55000000000000004">
      <c r="A110" s="11">
        <v>45048.391828703701</v>
      </c>
      <c r="B110" s="12" t="s">
        <v>191</v>
      </c>
      <c r="C110" s="12" t="s">
        <v>0</v>
      </c>
      <c r="D110" s="12" t="s">
        <v>95</v>
      </c>
      <c r="E110" s="12" t="s">
        <v>3</v>
      </c>
      <c r="F110" s="12"/>
      <c r="G110" s="12" t="s">
        <v>1</v>
      </c>
      <c r="H110" s="12" t="s">
        <v>10</v>
      </c>
      <c r="I110" s="12" t="s">
        <v>38</v>
      </c>
      <c r="J110" s="12" t="s">
        <v>2</v>
      </c>
      <c r="L110" s="4" t="e">
        <f>(#REF!-#REF!)</f>
        <v>#REF!</v>
      </c>
      <c r="M110" s="3" t="e">
        <f t="shared" si="3"/>
        <v>#REF!</v>
      </c>
      <c r="N110" s="2" t="e">
        <f>IF(#REF!=#REF!,"","Start")</f>
        <v>#REF!</v>
      </c>
    </row>
    <row r="111" spans="1:15" x14ac:dyDescent="0.55000000000000004">
      <c r="A111" s="11">
        <v>45048.392245370371</v>
      </c>
      <c r="B111" s="12" t="s">
        <v>191</v>
      </c>
      <c r="C111" s="12" t="s">
        <v>0</v>
      </c>
      <c r="D111" s="12" t="s">
        <v>93</v>
      </c>
      <c r="E111" s="12" t="s">
        <v>94</v>
      </c>
      <c r="F111" s="12"/>
      <c r="G111" s="12" t="s">
        <v>1</v>
      </c>
      <c r="H111" s="12" t="s">
        <v>10</v>
      </c>
      <c r="I111" s="12" t="s">
        <v>38</v>
      </c>
      <c r="J111" s="12" t="s">
        <v>2</v>
      </c>
      <c r="L111" s="4" t="e">
        <f>(#REF!-#REF!)</f>
        <v>#REF!</v>
      </c>
      <c r="M111" s="3" t="e">
        <f t="shared" si="3"/>
        <v>#REF!</v>
      </c>
      <c r="N111" s="2" t="e">
        <f>IF(#REF!=#REF!,"","Start")</f>
        <v>#REF!</v>
      </c>
    </row>
    <row r="112" spans="1:15" x14ac:dyDescent="0.55000000000000004">
      <c r="A112" s="11">
        <v>45048.392280092594</v>
      </c>
      <c r="B112" s="12" t="s">
        <v>191</v>
      </c>
      <c r="C112" s="12" t="s">
        <v>0</v>
      </c>
      <c r="D112" s="12" t="s">
        <v>91</v>
      </c>
      <c r="E112" s="12" t="s">
        <v>92</v>
      </c>
      <c r="F112" s="12"/>
      <c r="G112" s="12" t="s">
        <v>1</v>
      </c>
      <c r="H112" s="12" t="s">
        <v>10</v>
      </c>
      <c r="I112" s="12" t="s">
        <v>38</v>
      </c>
      <c r="J112" s="12" t="s">
        <v>2</v>
      </c>
      <c r="L112" s="4" t="e">
        <f>(#REF!-#REF!)</f>
        <v>#REF!</v>
      </c>
      <c r="M112" s="3" t="e">
        <f t="shared" si="3"/>
        <v>#REF!</v>
      </c>
      <c r="N112" s="2" t="e">
        <f>IF(#REF!=#REF!,"","Start")</f>
        <v>#REF!</v>
      </c>
    </row>
    <row r="113" spans="1:14" x14ac:dyDescent="0.55000000000000004">
      <c r="A113" s="11">
        <v>45048.392337962963</v>
      </c>
      <c r="B113" s="12" t="s">
        <v>191</v>
      </c>
      <c r="C113" s="12" t="s">
        <v>0</v>
      </c>
      <c r="D113" s="12" t="s">
        <v>87</v>
      </c>
      <c r="E113" s="12" t="s">
        <v>132</v>
      </c>
      <c r="F113" s="12"/>
      <c r="G113" s="12" t="s">
        <v>1</v>
      </c>
      <c r="H113" s="12" t="s">
        <v>10</v>
      </c>
      <c r="I113" s="12" t="s">
        <v>38</v>
      </c>
      <c r="J113" s="12" t="s">
        <v>2</v>
      </c>
      <c r="L113" s="4" t="e">
        <f>(#REF!-#REF!)</f>
        <v>#REF!</v>
      </c>
      <c r="M113" s="3" t="e">
        <f t="shared" si="3"/>
        <v>#REF!</v>
      </c>
      <c r="N113" s="2" t="e">
        <f>IF(#REF!=#REF!,"","Start")</f>
        <v>#REF!</v>
      </c>
    </row>
    <row r="114" spans="1:14" x14ac:dyDescent="0.55000000000000004">
      <c r="A114" s="11">
        <v>45048.392500000002</v>
      </c>
      <c r="B114" s="12" t="s">
        <v>191</v>
      </c>
      <c r="C114" s="12" t="s">
        <v>0</v>
      </c>
      <c r="D114" s="12" t="s">
        <v>120</v>
      </c>
      <c r="E114" s="12" t="s">
        <v>121</v>
      </c>
      <c r="F114" s="12"/>
      <c r="G114" s="12" t="s">
        <v>1</v>
      </c>
      <c r="H114" s="12" t="s">
        <v>10</v>
      </c>
      <c r="I114" s="12" t="s">
        <v>38</v>
      </c>
      <c r="J114" s="12" t="s">
        <v>2</v>
      </c>
      <c r="L114" s="4" t="e">
        <f>(#REF!-#REF!)</f>
        <v>#REF!</v>
      </c>
      <c r="M114" s="3" t="e">
        <f t="shared" si="3"/>
        <v>#REF!</v>
      </c>
      <c r="N114" s="2" t="e">
        <f>IF(#REF!=#REF!,"","Start")</f>
        <v>#REF!</v>
      </c>
    </row>
    <row r="115" spans="1:14" x14ac:dyDescent="0.55000000000000004">
      <c r="A115" s="11">
        <v>45048.396631944444</v>
      </c>
      <c r="B115" s="12" t="s">
        <v>191</v>
      </c>
      <c r="C115" s="12" t="s">
        <v>0</v>
      </c>
      <c r="D115" s="12" t="s">
        <v>87</v>
      </c>
      <c r="E115" s="12" t="s">
        <v>136</v>
      </c>
      <c r="F115" s="12"/>
      <c r="G115" s="12" t="s">
        <v>1</v>
      </c>
      <c r="H115" s="12" t="s">
        <v>10</v>
      </c>
      <c r="I115" s="12" t="s">
        <v>38</v>
      </c>
      <c r="J115" s="12" t="s">
        <v>2</v>
      </c>
      <c r="L115" s="4" t="e">
        <f>(#REF!-#REF!)</f>
        <v>#REF!</v>
      </c>
      <c r="M115" s="3" t="e">
        <f t="shared" si="3"/>
        <v>#REF!</v>
      </c>
      <c r="N115" s="2" t="e">
        <f>IF(#REF!=#REF!,"","Start")</f>
        <v>#REF!</v>
      </c>
    </row>
    <row r="116" spans="1:14" x14ac:dyDescent="0.55000000000000004">
      <c r="A116" s="11">
        <v>45048.396840277775</v>
      </c>
      <c r="B116" s="12" t="s">
        <v>191</v>
      </c>
      <c r="C116" s="12" t="s">
        <v>0</v>
      </c>
      <c r="D116" s="12" t="s">
        <v>87</v>
      </c>
      <c r="E116" s="12" t="s">
        <v>82</v>
      </c>
      <c r="F116" s="12"/>
      <c r="G116" s="12" t="s">
        <v>1</v>
      </c>
      <c r="H116" s="12" t="s">
        <v>10</v>
      </c>
      <c r="I116" s="12" t="s">
        <v>38</v>
      </c>
      <c r="J116" s="12" t="s">
        <v>2</v>
      </c>
      <c r="L116" s="4" t="e">
        <f>(#REF!-#REF!)</f>
        <v>#REF!</v>
      </c>
      <c r="M116" s="3" t="e">
        <f t="shared" si="3"/>
        <v>#REF!</v>
      </c>
      <c r="N116" s="2" t="e">
        <f>IF(#REF!=#REF!,"","Start")</f>
        <v>#REF!</v>
      </c>
    </row>
    <row r="117" spans="1:14" x14ac:dyDescent="0.55000000000000004">
      <c r="A117" s="11">
        <v>45048.396886574075</v>
      </c>
      <c r="B117" s="12" t="s">
        <v>191</v>
      </c>
      <c r="C117" s="12" t="s">
        <v>0</v>
      </c>
      <c r="D117" s="12" t="s">
        <v>86</v>
      </c>
      <c r="E117" s="12" t="s">
        <v>197</v>
      </c>
      <c r="F117" s="12"/>
      <c r="G117" s="12" t="s">
        <v>1</v>
      </c>
      <c r="H117" s="12" t="s">
        <v>10</v>
      </c>
      <c r="I117" s="12" t="s">
        <v>38</v>
      </c>
      <c r="J117" s="12" t="s">
        <v>2</v>
      </c>
      <c r="L117" s="4" t="e">
        <f>(#REF!-#REF!)</f>
        <v>#REF!</v>
      </c>
      <c r="M117" s="3" t="e">
        <f t="shared" si="3"/>
        <v>#REF!</v>
      </c>
      <c r="N117" s="2" t="e">
        <f>IF(#REF!=#REF!,"","Start")</f>
        <v>#REF!</v>
      </c>
    </row>
    <row r="118" spans="1:14" x14ac:dyDescent="0.55000000000000004">
      <c r="A118" s="11">
        <v>45048.401284722226</v>
      </c>
      <c r="B118" s="12" t="s">
        <v>191</v>
      </c>
      <c r="C118" s="12" t="s">
        <v>0</v>
      </c>
      <c r="D118" s="12" t="s">
        <v>87</v>
      </c>
      <c r="E118" s="12" t="s">
        <v>82</v>
      </c>
      <c r="F118" s="12"/>
      <c r="G118" s="12" t="s">
        <v>1</v>
      </c>
      <c r="H118" s="12" t="s">
        <v>10</v>
      </c>
      <c r="I118" s="12" t="s">
        <v>38</v>
      </c>
      <c r="J118" s="12" t="s">
        <v>2</v>
      </c>
      <c r="L118" s="4" t="e">
        <f>(#REF!-#REF!)</f>
        <v>#REF!</v>
      </c>
      <c r="M118" s="3" t="e">
        <f t="shared" si="3"/>
        <v>#REF!</v>
      </c>
      <c r="N118" s="2" t="e">
        <f>IF(#REF!=#REF!,"","Start")</f>
        <v>#REF!</v>
      </c>
    </row>
    <row r="119" spans="1:14" x14ac:dyDescent="0.55000000000000004">
      <c r="A119" s="11">
        <v>45048.401365740741</v>
      </c>
      <c r="B119" s="12" t="s">
        <v>191</v>
      </c>
      <c r="C119" s="12" t="s">
        <v>0</v>
      </c>
      <c r="D119" s="12" t="s">
        <v>86</v>
      </c>
      <c r="E119" s="12" t="s">
        <v>80</v>
      </c>
      <c r="F119" s="12"/>
      <c r="G119" s="12" t="s">
        <v>1</v>
      </c>
      <c r="H119" s="12" t="s">
        <v>10</v>
      </c>
      <c r="I119" s="12" t="s">
        <v>38</v>
      </c>
      <c r="J119" s="12" t="s">
        <v>2</v>
      </c>
      <c r="L119" s="4" t="e">
        <f>(#REF!-#REF!)</f>
        <v>#REF!</v>
      </c>
      <c r="M119" s="3" t="e">
        <f t="shared" si="3"/>
        <v>#REF!</v>
      </c>
      <c r="N119" s="2" t="e">
        <f>IF(#REF!=#REF!,"","Start")</f>
        <v>#REF!</v>
      </c>
    </row>
    <row r="120" spans="1:14" x14ac:dyDescent="0.55000000000000004">
      <c r="A120" s="11">
        <v>45048.401608796295</v>
      </c>
      <c r="B120" s="12" t="s">
        <v>191</v>
      </c>
      <c r="C120" s="12" t="s">
        <v>0</v>
      </c>
      <c r="D120" s="12" t="s">
        <v>85</v>
      </c>
      <c r="E120" s="12" t="s">
        <v>155</v>
      </c>
      <c r="F120" s="12"/>
      <c r="G120" s="12" t="s">
        <v>1</v>
      </c>
      <c r="H120" s="12" t="s">
        <v>10</v>
      </c>
      <c r="I120" s="12" t="s">
        <v>38</v>
      </c>
      <c r="J120" s="12" t="s">
        <v>2</v>
      </c>
      <c r="L120" s="4" t="e">
        <f>(#REF!-#REF!)</f>
        <v>#REF!</v>
      </c>
      <c r="M120" s="3" t="e">
        <f t="shared" si="3"/>
        <v>#REF!</v>
      </c>
      <c r="N120" s="2" t="e">
        <f>IF(#REF!=#REF!,"","Start")</f>
        <v>#REF!</v>
      </c>
    </row>
    <row r="121" spans="1:14" x14ac:dyDescent="0.55000000000000004">
      <c r="A121" s="11">
        <v>45048.401620370372</v>
      </c>
      <c r="B121" s="12" t="s">
        <v>191</v>
      </c>
      <c r="C121" s="12" t="s">
        <v>0</v>
      </c>
      <c r="D121" s="12" t="s">
        <v>85</v>
      </c>
      <c r="E121" s="12" t="s">
        <v>155</v>
      </c>
      <c r="F121" s="12"/>
      <c r="G121" s="12" t="s">
        <v>1</v>
      </c>
      <c r="H121" s="12" t="s">
        <v>10</v>
      </c>
      <c r="I121" s="12" t="s">
        <v>38</v>
      </c>
      <c r="J121" s="12" t="s">
        <v>2</v>
      </c>
      <c r="L121" s="4" t="e">
        <f>(#REF!-#REF!)</f>
        <v>#REF!</v>
      </c>
      <c r="M121" s="3" t="e">
        <f t="shared" si="3"/>
        <v>#REF!</v>
      </c>
      <c r="N121" s="2" t="e">
        <f>IF(#REF!=#REF!,"","Start")</f>
        <v>#REF!</v>
      </c>
    </row>
    <row r="122" spans="1:14" x14ac:dyDescent="0.55000000000000004">
      <c r="A122" s="11">
        <v>45048.401631944442</v>
      </c>
      <c r="B122" s="12" t="s">
        <v>191</v>
      </c>
      <c r="C122" s="12" t="s">
        <v>0</v>
      </c>
      <c r="D122" s="12" t="s">
        <v>85</v>
      </c>
      <c r="E122" s="12" t="s">
        <v>73</v>
      </c>
      <c r="F122" s="12"/>
      <c r="G122" s="12" t="s">
        <v>1</v>
      </c>
      <c r="H122" s="12" t="s">
        <v>10</v>
      </c>
      <c r="I122" s="12" t="s">
        <v>38</v>
      </c>
      <c r="J122" s="12" t="s">
        <v>2</v>
      </c>
      <c r="L122" s="4" t="e">
        <f>(#REF!-#REF!)</f>
        <v>#REF!</v>
      </c>
      <c r="M122" s="3" t="e">
        <f t="shared" si="3"/>
        <v>#REF!</v>
      </c>
      <c r="N122" s="2" t="e">
        <f>IF(#REF!=#REF!,"","Start")</f>
        <v>#REF!</v>
      </c>
    </row>
    <row r="123" spans="1:14" x14ac:dyDescent="0.55000000000000004">
      <c r="A123" s="11">
        <v>45048.401701388888</v>
      </c>
      <c r="B123" s="12" t="s">
        <v>191</v>
      </c>
      <c r="C123" s="12" t="s">
        <v>0</v>
      </c>
      <c r="D123" s="12" t="s">
        <v>84</v>
      </c>
      <c r="E123" s="12" t="s">
        <v>159</v>
      </c>
      <c r="F123" s="12" t="s">
        <v>160</v>
      </c>
      <c r="G123" s="12" t="s">
        <v>1</v>
      </c>
      <c r="H123" s="12" t="s">
        <v>10</v>
      </c>
      <c r="I123" s="12" t="s">
        <v>38</v>
      </c>
      <c r="J123" s="12" t="s">
        <v>2</v>
      </c>
      <c r="L123" s="4" t="e">
        <f>(#REF!-#REF!)</f>
        <v>#REF!</v>
      </c>
      <c r="M123" s="3" t="e">
        <f t="shared" si="3"/>
        <v>#REF!</v>
      </c>
      <c r="N123" s="2" t="e">
        <f>IF(#REF!=#REF!,"","Start")</f>
        <v>#REF!</v>
      </c>
    </row>
    <row r="124" spans="1:14" x14ac:dyDescent="0.55000000000000004">
      <c r="A124" s="11">
        <v>45048.401712962965</v>
      </c>
      <c r="B124" s="12" t="s">
        <v>191</v>
      </c>
      <c r="C124" s="12" t="s">
        <v>0</v>
      </c>
      <c r="D124" s="12" t="s">
        <v>84</v>
      </c>
      <c r="E124" s="12" t="s">
        <v>159</v>
      </c>
      <c r="F124" s="12" t="s">
        <v>182</v>
      </c>
      <c r="G124" s="12" t="s">
        <v>1</v>
      </c>
      <c r="H124" s="12" t="s">
        <v>10</v>
      </c>
      <c r="I124" s="12" t="s">
        <v>38</v>
      </c>
      <c r="J124" s="12" t="s">
        <v>2</v>
      </c>
      <c r="L124" s="4" t="e">
        <f>(#REF!-#REF!)</f>
        <v>#REF!</v>
      </c>
      <c r="M124" s="3" t="e">
        <f t="shared" si="3"/>
        <v>#REF!</v>
      </c>
      <c r="N124" s="2" t="e">
        <f>IF(#REF!=#REF!,"","Start")</f>
        <v>#REF!</v>
      </c>
    </row>
    <row r="125" spans="1:14" x14ac:dyDescent="0.55000000000000004">
      <c r="A125" s="11">
        <v>45048.401909722219</v>
      </c>
      <c r="B125" s="12" t="s">
        <v>191</v>
      </c>
      <c r="C125" s="12" t="s">
        <v>0</v>
      </c>
      <c r="D125" s="12" t="s">
        <v>84</v>
      </c>
      <c r="E125" s="12" t="s">
        <v>151</v>
      </c>
      <c r="F125" s="12" t="s">
        <v>43</v>
      </c>
      <c r="G125" s="12" t="s">
        <v>1</v>
      </c>
      <c r="H125" s="12" t="s">
        <v>10</v>
      </c>
      <c r="I125" s="12" t="s">
        <v>38</v>
      </c>
      <c r="J125" s="12" t="s">
        <v>2</v>
      </c>
      <c r="L125" s="4" t="e">
        <f>(#REF!-#REF!)</f>
        <v>#REF!</v>
      </c>
      <c r="M125" s="3" t="e">
        <f t="shared" si="3"/>
        <v>#REF!</v>
      </c>
      <c r="N125" s="2" t="e">
        <f>IF(#REF!=#REF!,"","Start")</f>
        <v>#REF!</v>
      </c>
    </row>
    <row r="126" spans="1:14" x14ac:dyDescent="0.55000000000000004">
      <c r="A126" s="11">
        <v>45048.401932870373</v>
      </c>
      <c r="B126" s="12" t="s">
        <v>191</v>
      </c>
      <c r="C126" s="12" t="s">
        <v>0</v>
      </c>
      <c r="D126" s="12" t="s">
        <v>84</v>
      </c>
      <c r="E126" s="12" t="s">
        <v>151</v>
      </c>
      <c r="F126" s="12" t="s">
        <v>196</v>
      </c>
      <c r="G126" s="12" t="s">
        <v>1</v>
      </c>
      <c r="H126" s="12" t="s">
        <v>10</v>
      </c>
      <c r="I126" s="12" t="s">
        <v>38</v>
      </c>
      <c r="J126" s="12" t="s">
        <v>2</v>
      </c>
      <c r="L126" s="4" t="e">
        <f>(#REF!-#REF!)</f>
        <v>#REF!</v>
      </c>
      <c r="M126" s="3" t="e">
        <f t="shared" si="3"/>
        <v>#REF!</v>
      </c>
      <c r="N126" s="2" t="e">
        <f>IF(#REF!=#REF!,"","Start")</f>
        <v>#REF!</v>
      </c>
    </row>
    <row r="127" spans="1:14" x14ac:dyDescent="0.55000000000000004">
      <c r="A127" s="11">
        <v>45048.401944444442</v>
      </c>
      <c r="B127" s="12" t="s">
        <v>191</v>
      </c>
      <c r="C127" s="12" t="s">
        <v>0</v>
      </c>
      <c r="D127" s="12" t="s">
        <v>84</v>
      </c>
      <c r="E127" s="12" t="s">
        <v>151</v>
      </c>
      <c r="F127" s="12" t="s">
        <v>195</v>
      </c>
      <c r="G127" s="12" t="s">
        <v>1</v>
      </c>
      <c r="H127" s="12" t="s">
        <v>10</v>
      </c>
      <c r="I127" s="12" t="s">
        <v>38</v>
      </c>
      <c r="J127" s="12" t="s">
        <v>2</v>
      </c>
      <c r="L127" s="4" t="e">
        <f>(#REF!-#REF!)</f>
        <v>#REF!</v>
      </c>
      <c r="M127" s="3" t="e">
        <f t="shared" si="3"/>
        <v>#REF!</v>
      </c>
      <c r="N127" s="2" t="e">
        <f>IF(#REF!=#REF!,"","Start")</f>
        <v>#REF!</v>
      </c>
    </row>
    <row r="128" spans="1:14" x14ac:dyDescent="0.55000000000000004">
      <c r="A128" s="11">
        <v>45048.402013888888</v>
      </c>
      <c r="B128" s="12" t="s">
        <v>191</v>
      </c>
      <c r="C128" s="12" t="s">
        <v>0</v>
      </c>
      <c r="D128" s="12" t="s">
        <v>84</v>
      </c>
      <c r="E128" s="12" t="s">
        <v>151</v>
      </c>
      <c r="F128" s="12" t="s">
        <v>195</v>
      </c>
      <c r="G128" s="12" t="s">
        <v>1</v>
      </c>
      <c r="H128" s="12" t="s">
        <v>10</v>
      </c>
      <c r="I128" s="12" t="s">
        <v>38</v>
      </c>
      <c r="J128" s="12" t="s">
        <v>2</v>
      </c>
      <c r="L128" s="4" t="e">
        <f>(#REF!-#REF!)</f>
        <v>#REF!</v>
      </c>
      <c r="M128" s="3" t="e">
        <f t="shared" si="3"/>
        <v>#REF!</v>
      </c>
      <c r="N128" s="2" t="e">
        <f>IF(#REF!=#REF!,"","Start")</f>
        <v>#REF!</v>
      </c>
    </row>
    <row r="129" spans="1:14" x14ac:dyDescent="0.55000000000000004">
      <c r="A129" s="11">
        <v>45048.402025462965</v>
      </c>
      <c r="B129" s="12" t="s">
        <v>191</v>
      </c>
      <c r="C129" s="12" t="s">
        <v>0</v>
      </c>
      <c r="D129" s="12" t="s">
        <v>84</v>
      </c>
      <c r="E129" s="12" t="s">
        <v>151</v>
      </c>
      <c r="F129" s="12" t="s">
        <v>195</v>
      </c>
      <c r="G129" s="12" t="s">
        <v>1</v>
      </c>
      <c r="H129" s="12" t="s">
        <v>10</v>
      </c>
      <c r="I129" s="12" t="s">
        <v>38</v>
      </c>
      <c r="J129" s="12" t="s">
        <v>2</v>
      </c>
      <c r="L129" s="4" t="e">
        <f>(#REF!-#REF!)</f>
        <v>#REF!</v>
      </c>
      <c r="M129" s="3" t="e">
        <f t="shared" si="3"/>
        <v>#REF!</v>
      </c>
      <c r="N129" s="2" t="e">
        <f>IF(#REF!=#REF!,"","Start")</f>
        <v>#REF!</v>
      </c>
    </row>
    <row r="130" spans="1:14" x14ac:dyDescent="0.55000000000000004">
      <c r="A130" s="11">
        <v>45048.402037037034</v>
      </c>
      <c r="B130" s="12" t="s">
        <v>191</v>
      </c>
      <c r="C130" s="12" t="s">
        <v>0</v>
      </c>
      <c r="D130" s="12" t="s">
        <v>84</v>
      </c>
      <c r="E130" s="12" t="s">
        <v>151</v>
      </c>
      <c r="F130" s="12" t="s">
        <v>195</v>
      </c>
      <c r="G130" s="12" t="s">
        <v>1</v>
      </c>
      <c r="H130" s="12" t="s">
        <v>10</v>
      </c>
      <c r="I130" s="12" t="s">
        <v>38</v>
      </c>
      <c r="J130" s="12" t="s">
        <v>2</v>
      </c>
      <c r="L130" s="4" t="e">
        <f>(#REF!-#REF!)</f>
        <v>#REF!</v>
      </c>
      <c r="M130" s="3" t="e">
        <f t="shared" si="3"/>
        <v>#REF!</v>
      </c>
      <c r="N130" s="2" t="e">
        <f>IF(#REF!=#REF!,"","Start")</f>
        <v>#REF!</v>
      </c>
    </row>
    <row r="131" spans="1:14" x14ac:dyDescent="0.55000000000000004">
      <c r="A131" s="11">
        <v>45048.402048611111</v>
      </c>
      <c r="B131" s="12" t="s">
        <v>191</v>
      </c>
      <c r="C131" s="12" t="s">
        <v>0</v>
      </c>
      <c r="D131" s="12" t="s">
        <v>84</v>
      </c>
      <c r="E131" s="12" t="s">
        <v>151</v>
      </c>
      <c r="F131" s="12" t="s">
        <v>196</v>
      </c>
      <c r="G131" s="12" t="s">
        <v>1</v>
      </c>
      <c r="H131" s="12" t="s">
        <v>10</v>
      </c>
      <c r="I131" s="12" t="s">
        <v>38</v>
      </c>
      <c r="J131" s="12" t="s">
        <v>2</v>
      </c>
      <c r="L131" s="4" t="e">
        <f>(#REF!-#REF!)</f>
        <v>#REF!</v>
      </c>
      <c r="M131" s="3" t="e">
        <f t="shared" si="3"/>
        <v>#REF!</v>
      </c>
      <c r="N131" s="2" t="e">
        <f>IF(#REF!=#REF!,"","Start")</f>
        <v>#REF!</v>
      </c>
    </row>
    <row r="132" spans="1:14" x14ac:dyDescent="0.55000000000000004">
      <c r="A132" s="11">
        <v>45048.402060185188</v>
      </c>
      <c r="B132" s="12" t="s">
        <v>191</v>
      </c>
      <c r="C132" s="12" t="s">
        <v>0</v>
      </c>
      <c r="D132" s="12" t="s">
        <v>84</v>
      </c>
      <c r="E132" s="12" t="s">
        <v>194</v>
      </c>
      <c r="F132" s="12"/>
      <c r="G132" s="12" t="s">
        <v>1</v>
      </c>
      <c r="H132" s="12" t="s">
        <v>10</v>
      </c>
      <c r="I132" s="12" t="s">
        <v>38</v>
      </c>
      <c r="J132" s="12" t="s">
        <v>2</v>
      </c>
      <c r="L132" s="4" t="e">
        <f>(#REF!-#REF!)</f>
        <v>#REF!</v>
      </c>
      <c r="M132" s="3" t="e">
        <f t="shared" ref="M132:M195" si="4">IF(AND(L132&gt;0, L132&lt;0.0207),L132/Q$1,0)</f>
        <v>#REF!</v>
      </c>
      <c r="N132" s="2" t="e">
        <f>IF(#REF!=#REF!,"","Start")</f>
        <v>#REF!</v>
      </c>
    </row>
    <row r="133" spans="1:14" x14ac:dyDescent="0.55000000000000004">
      <c r="A133" s="11">
        <v>45048.402060185188</v>
      </c>
      <c r="B133" s="12" t="s">
        <v>191</v>
      </c>
      <c r="C133" s="12" t="s">
        <v>0</v>
      </c>
      <c r="D133" s="12" t="s">
        <v>84</v>
      </c>
      <c r="E133" s="12" t="s">
        <v>151</v>
      </c>
      <c r="F133" s="12" t="s">
        <v>196</v>
      </c>
      <c r="G133" s="12" t="s">
        <v>1</v>
      </c>
      <c r="H133" s="12" t="s">
        <v>10</v>
      </c>
      <c r="I133" s="12" t="s">
        <v>38</v>
      </c>
      <c r="J133" s="12" t="s">
        <v>2</v>
      </c>
      <c r="L133" s="4" t="e">
        <f>(#REF!-#REF!)</f>
        <v>#REF!</v>
      </c>
      <c r="M133" s="3" t="e">
        <f t="shared" si="4"/>
        <v>#REF!</v>
      </c>
      <c r="N133" s="2" t="e">
        <f>IF(#REF!=#REF!,"","Start")</f>
        <v>#REF!</v>
      </c>
    </row>
    <row r="134" spans="1:14" x14ac:dyDescent="0.55000000000000004">
      <c r="A134" s="11">
        <v>45048.402071759258</v>
      </c>
      <c r="B134" s="12" t="s">
        <v>191</v>
      </c>
      <c r="C134" s="12" t="s">
        <v>0</v>
      </c>
      <c r="D134" s="12" t="s">
        <v>84</v>
      </c>
      <c r="E134" s="12" t="s">
        <v>198</v>
      </c>
      <c r="F134" s="12"/>
      <c r="G134" s="12" t="s">
        <v>1</v>
      </c>
      <c r="H134" s="12" t="s">
        <v>10</v>
      </c>
      <c r="I134" s="12" t="s">
        <v>38</v>
      </c>
      <c r="J134" s="12" t="s">
        <v>2</v>
      </c>
      <c r="L134" s="4" t="e">
        <f>(#REF!-#REF!)</f>
        <v>#REF!</v>
      </c>
      <c r="M134" s="3" t="e">
        <f t="shared" si="4"/>
        <v>#REF!</v>
      </c>
      <c r="N134" s="2" t="e">
        <f>IF(#REF!=#REF!,"","Start")</f>
        <v>#REF!</v>
      </c>
    </row>
    <row r="135" spans="1:14" x14ac:dyDescent="0.55000000000000004">
      <c r="A135" s="11">
        <v>45048.402118055557</v>
      </c>
      <c r="B135" s="12" t="s">
        <v>191</v>
      </c>
      <c r="C135" s="12" t="s">
        <v>0</v>
      </c>
      <c r="D135" s="12" t="s">
        <v>84</v>
      </c>
      <c r="E135" s="12" t="s">
        <v>200</v>
      </c>
      <c r="F135" s="12" t="s">
        <v>43</v>
      </c>
      <c r="G135" s="12" t="s">
        <v>1</v>
      </c>
      <c r="H135" s="12" t="s">
        <v>10</v>
      </c>
      <c r="I135" s="12" t="s">
        <v>38</v>
      </c>
      <c r="J135" s="12" t="s">
        <v>2</v>
      </c>
      <c r="L135" s="4" t="e">
        <f>(#REF!-#REF!)</f>
        <v>#REF!</v>
      </c>
      <c r="M135" s="3" t="e">
        <f t="shared" si="4"/>
        <v>#REF!</v>
      </c>
      <c r="N135" s="2" t="e">
        <f>IF(#REF!=#REF!,"","Start")</f>
        <v>#REF!</v>
      </c>
    </row>
    <row r="136" spans="1:14" x14ac:dyDescent="0.55000000000000004">
      <c r="A136" s="11">
        <v>45048.402118055557</v>
      </c>
      <c r="B136" s="12" t="s">
        <v>191</v>
      </c>
      <c r="C136" s="12" t="s">
        <v>0</v>
      </c>
      <c r="D136" s="12" t="s">
        <v>84</v>
      </c>
      <c r="E136" s="12" t="s">
        <v>198</v>
      </c>
      <c r="F136" s="12"/>
      <c r="G136" s="12" t="s">
        <v>1</v>
      </c>
      <c r="H136" s="12" t="s">
        <v>10</v>
      </c>
      <c r="I136" s="12" t="s">
        <v>38</v>
      </c>
      <c r="J136" s="12" t="s">
        <v>2</v>
      </c>
      <c r="L136" s="4" t="e">
        <f>(#REF!-#REF!)</f>
        <v>#REF!</v>
      </c>
      <c r="M136" s="3" t="e">
        <f t="shared" si="4"/>
        <v>#REF!</v>
      </c>
      <c r="N136" s="2" t="e">
        <f>IF(#REF!=#REF!,"","Start")</f>
        <v>#REF!</v>
      </c>
    </row>
    <row r="137" spans="1:14" x14ac:dyDescent="0.55000000000000004">
      <c r="A137" s="11">
        <v>45048.40215277778</v>
      </c>
      <c r="B137" s="12" t="s">
        <v>191</v>
      </c>
      <c r="C137" s="12" t="s">
        <v>0</v>
      </c>
      <c r="D137" s="12" t="s">
        <v>84</v>
      </c>
      <c r="E137" s="12" t="s">
        <v>199</v>
      </c>
      <c r="F137" s="12"/>
      <c r="G137" s="12" t="s">
        <v>1</v>
      </c>
      <c r="H137" s="12" t="s">
        <v>10</v>
      </c>
      <c r="I137" s="12" t="s">
        <v>38</v>
      </c>
      <c r="J137" s="12" t="s">
        <v>2</v>
      </c>
      <c r="L137" s="4" t="e">
        <f>(#REF!-#REF!)</f>
        <v>#REF!</v>
      </c>
      <c r="M137" s="3" t="e">
        <f t="shared" si="4"/>
        <v>#REF!</v>
      </c>
      <c r="N137" s="2" t="e">
        <f>IF(#REF!=#REF!,"","Start")</f>
        <v>#REF!</v>
      </c>
    </row>
    <row r="138" spans="1:14" x14ac:dyDescent="0.55000000000000004">
      <c r="A138" s="11">
        <v>45048.402175925927</v>
      </c>
      <c r="B138" s="12" t="s">
        <v>191</v>
      </c>
      <c r="C138" s="12" t="s">
        <v>0</v>
      </c>
      <c r="D138" s="12" t="s">
        <v>84</v>
      </c>
      <c r="E138" s="12" t="s">
        <v>151</v>
      </c>
      <c r="F138" s="12" t="s">
        <v>43</v>
      </c>
      <c r="G138" s="12" t="s">
        <v>1</v>
      </c>
      <c r="H138" s="12" t="s">
        <v>10</v>
      </c>
      <c r="I138" s="12" t="s">
        <v>38</v>
      </c>
      <c r="J138" s="12" t="s">
        <v>2</v>
      </c>
      <c r="L138" s="4" t="e">
        <f>(#REF!-#REF!)</f>
        <v>#REF!</v>
      </c>
      <c r="M138" s="3" t="e">
        <f t="shared" si="4"/>
        <v>#REF!</v>
      </c>
      <c r="N138" s="2" t="e">
        <f>IF(#REF!=#REF!,"","Start")</f>
        <v>#REF!</v>
      </c>
    </row>
    <row r="139" spans="1:14" x14ac:dyDescent="0.55000000000000004">
      <c r="A139" s="11">
        <v>45048.402187500003</v>
      </c>
      <c r="B139" s="12" t="s">
        <v>191</v>
      </c>
      <c r="C139" s="12" t="s">
        <v>0</v>
      </c>
      <c r="D139" s="12" t="s">
        <v>84</v>
      </c>
      <c r="E139" s="12" t="s">
        <v>151</v>
      </c>
      <c r="F139" s="12" t="s">
        <v>196</v>
      </c>
      <c r="G139" s="12" t="s">
        <v>1</v>
      </c>
      <c r="H139" s="12" t="s">
        <v>10</v>
      </c>
      <c r="I139" s="12" t="s">
        <v>38</v>
      </c>
      <c r="J139" s="12" t="s">
        <v>2</v>
      </c>
      <c r="L139" s="4" t="e">
        <f>(#REF!-#REF!)</f>
        <v>#REF!</v>
      </c>
      <c r="M139" s="3" t="e">
        <f t="shared" si="4"/>
        <v>#REF!</v>
      </c>
      <c r="N139" s="2" t="e">
        <f>IF(#REF!=#REF!,"","Start")</f>
        <v>#REF!</v>
      </c>
    </row>
    <row r="140" spans="1:14" x14ac:dyDescent="0.55000000000000004">
      <c r="A140" s="11">
        <v>45048.402199074073</v>
      </c>
      <c r="B140" s="12" t="s">
        <v>191</v>
      </c>
      <c r="C140" s="12" t="s">
        <v>0</v>
      </c>
      <c r="D140" s="12" t="s">
        <v>84</v>
      </c>
      <c r="E140" s="12" t="s">
        <v>151</v>
      </c>
      <c r="F140" s="12" t="s">
        <v>195</v>
      </c>
      <c r="G140" s="12" t="s">
        <v>1</v>
      </c>
      <c r="H140" s="12" t="s">
        <v>10</v>
      </c>
      <c r="I140" s="12" t="s">
        <v>38</v>
      </c>
      <c r="J140" s="12" t="s">
        <v>2</v>
      </c>
      <c r="L140" s="4" t="e">
        <f>(#REF!-#REF!)</f>
        <v>#REF!</v>
      </c>
      <c r="M140" s="3" t="e">
        <f t="shared" si="4"/>
        <v>#REF!</v>
      </c>
      <c r="N140" s="2" t="e">
        <f>IF(#REF!=#REF!,"","Start")</f>
        <v>#REF!</v>
      </c>
    </row>
    <row r="141" spans="1:14" x14ac:dyDescent="0.55000000000000004">
      <c r="A141" s="11">
        <v>45048.402222222219</v>
      </c>
      <c r="B141" s="12" t="s">
        <v>191</v>
      </c>
      <c r="C141" s="12" t="s">
        <v>0</v>
      </c>
      <c r="D141" s="12" t="s">
        <v>84</v>
      </c>
      <c r="E141" s="12" t="s">
        <v>194</v>
      </c>
      <c r="F141" s="12"/>
      <c r="G141" s="12" t="s">
        <v>1</v>
      </c>
      <c r="H141" s="12" t="s">
        <v>10</v>
      </c>
      <c r="I141" s="12" t="s">
        <v>38</v>
      </c>
      <c r="J141" s="12" t="s">
        <v>2</v>
      </c>
      <c r="L141" s="4" t="e">
        <f>(#REF!-#REF!)</f>
        <v>#REF!</v>
      </c>
      <c r="M141" s="3" t="e">
        <f t="shared" si="4"/>
        <v>#REF!</v>
      </c>
      <c r="N141" s="2" t="e">
        <f>IF(#REF!=#REF!,"","Start")</f>
        <v>#REF!</v>
      </c>
    </row>
    <row r="142" spans="1:14" x14ac:dyDescent="0.55000000000000004">
      <c r="A142" s="11">
        <v>45048.402245370373</v>
      </c>
      <c r="B142" s="12" t="s">
        <v>191</v>
      </c>
      <c r="C142" s="12" t="s">
        <v>0</v>
      </c>
      <c r="D142" s="12" t="s">
        <v>84</v>
      </c>
      <c r="E142" s="12" t="s">
        <v>151</v>
      </c>
      <c r="F142" s="12" t="s">
        <v>43</v>
      </c>
      <c r="G142" s="12" t="s">
        <v>1</v>
      </c>
      <c r="H142" s="12" t="s">
        <v>10</v>
      </c>
      <c r="I142" s="12" t="s">
        <v>38</v>
      </c>
      <c r="J142" s="12" t="s">
        <v>2</v>
      </c>
      <c r="L142" s="4" t="e">
        <f>(#REF!-#REF!)</f>
        <v>#REF!</v>
      </c>
      <c r="M142" s="3" t="e">
        <f t="shared" si="4"/>
        <v>#REF!</v>
      </c>
      <c r="N142" s="2" t="e">
        <f>IF(#REF!=#REF!,"","Start")</f>
        <v>#REF!</v>
      </c>
    </row>
    <row r="143" spans="1:14" x14ac:dyDescent="0.55000000000000004">
      <c r="A143" s="11">
        <v>45048.402268518519</v>
      </c>
      <c r="B143" s="12" t="s">
        <v>191</v>
      </c>
      <c r="C143" s="12" t="s">
        <v>0</v>
      </c>
      <c r="D143" s="12" t="s">
        <v>84</v>
      </c>
      <c r="E143" s="12" t="s">
        <v>151</v>
      </c>
      <c r="F143" s="12" t="s">
        <v>195</v>
      </c>
      <c r="G143" s="12" t="s">
        <v>1</v>
      </c>
      <c r="H143" s="12" t="s">
        <v>10</v>
      </c>
      <c r="I143" s="12" t="s">
        <v>38</v>
      </c>
      <c r="J143" s="12" t="s">
        <v>2</v>
      </c>
      <c r="L143" s="4" t="e">
        <f>(#REF!-#REF!)</f>
        <v>#REF!</v>
      </c>
      <c r="M143" s="3" t="e">
        <f t="shared" si="4"/>
        <v>#REF!</v>
      </c>
      <c r="N143" s="2" t="e">
        <f>IF(#REF!=#REF!,"","Start")</f>
        <v>#REF!</v>
      </c>
    </row>
    <row r="144" spans="1:14" x14ac:dyDescent="0.55000000000000004">
      <c r="A144" s="11">
        <v>45048.402280092596</v>
      </c>
      <c r="B144" s="12" t="s">
        <v>191</v>
      </c>
      <c r="C144" s="12" t="s">
        <v>0</v>
      </c>
      <c r="D144" s="12" t="s">
        <v>84</v>
      </c>
      <c r="E144" s="12" t="s">
        <v>151</v>
      </c>
      <c r="F144" s="12" t="s">
        <v>196</v>
      </c>
      <c r="G144" s="12" t="s">
        <v>1</v>
      </c>
      <c r="H144" s="12" t="s">
        <v>10</v>
      </c>
      <c r="I144" s="12" t="s">
        <v>38</v>
      </c>
      <c r="J144" s="12" t="s">
        <v>2</v>
      </c>
      <c r="L144" s="4" t="e">
        <f>(#REF!-#REF!)</f>
        <v>#REF!</v>
      </c>
      <c r="M144" s="3" t="e">
        <f t="shared" si="4"/>
        <v>#REF!</v>
      </c>
      <c r="N144" s="2" t="e">
        <f>IF(#REF!=#REF!,"","Start")</f>
        <v>#REF!</v>
      </c>
    </row>
    <row r="145" spans="1:14" x14ac:dyDescent="0.55000000000000004">
      <c r="A145" s="11">
        <v>45048.402303240742</v>
      </c>
      <c r="B145" s="12" t="s">
        <v>191</v>
      </c>
      <c r="C145" s="12" t="s">
        <v>0</v>
      </c>
      <c r="D145" s="12" t="s">
        <v>84</v>
      </c>
      <c r="E145" s="12" t="s">
        <v>194</v>
      </c>
      <c r="F145" s="12"/>
      <c r="G145" s="12" t="s">
        <v>1</v>
      </c>
      <c r="H145" s="12" t="s">
        <v>10</v>
      </c>
      <c r="I145" s="12" t="s">
        <v>38</v>
      </c>
      <c r="J145" s="12" t="s">
        <v>2</v>
      </c>
      <c r="L145" s="4" t="e">
        <f>(#REF!-#REF!)</f>
        <v>#REF!</v>
      </c>
      <c r="M145" s="3" t="e">
        <f t="shared" si="4"/>
        <v>#REF!</v>
      </c>
      <c r="N145" s="2" t="e">
        <f>IF(#REF!=#REF!,"","Start")</f>
        <v>#REF!</v>
      </c>
    </row>
    <row r="146" spans="1:14" x14ac:dyDescent="0.55000000000000004">
      <c r="A146" s="11">
        <v>45048.402326388888</v>
      </c>
      <c r="B146" s="12" t="s">
        <v>191</v>
      </c>
      <c r="C146" s="12" t="s">
        <v>0</v>
      </c>
      <c r="D146" s="12" t="s">
        <v>84</v>
      </c>
      <c r="E146" s="12" t="s">
        <v>198</v>
      </c>
      <c r="F146" s="12"/>
      <c r="G146" s="12" t="s">
        <v>1</v>
      </c>
      <c r="H146" s="12" t="s">
        <v>10</v>
      </c>
      <c r="I146" s="12" t="s">
        <v>38</v>
      </c>
      <c r="J146" s="12" t="s">
        <v>2</v>
      </c>
      <c r="L146" s="4" t="e">
        <f>(#REF!-#REF!)</f>
        <v>#REF!</v>
      </c>
      <c r="M146" s="3" t="e">
        <f t="shared" si="4"/>
        <v>#REF!</v>
      </c>
      <c r="N146" s="2" t="e">
        <f>IF(#REF!=#REF!,"","Start")</f>
        <v>#REF!</v>
      </c>
    </row>
    <row r="147" spans="1:14" x14ac:dyDescent="0.55000000000000004">
      <c r="A147" s="11">
        <v>45048.402337962965</v>
      </c>
      <c r="B147" s="12" t="s">
        <v>191</v>
      </c>
      <c r="C147" s="12" t="s">
        <v>0</v>
      </c>
      <c r="D147" s="12" t="s">
        <v>84</v>
      </c>
      <c r="E147" s="12" t="s">
        <v>200</v>
      </c>
      <c r="F147" s="12" t="s">
        <v>43</v>
      </c>
      <c r="G147" s="12" t="s">
        <v>1</v>
      </c>
      <c r="H147" s="12" t="s">
        <v>10</v>
      </c>
      <c r="I147" s="12" t="s">
        <v>38</v>
      </c>
      <c r="J147" s="12" t="s">
        <v>2</v>
      </c>
      <c r="L147" s="4" t="e">
        <f>(#REF!-#REF!)</f>
        <v>#REF!</v>
      </c>
      <c r="M147" s="3" t="e">
        <f t="shared" si="4"/>
        <v>#REF!</v>
      </c>
      <c r="N147" s="2" t="e">
        <f>IF(#REF!=#REF!,"","Start")</f>
        <v>#REF!</v>
      </c>
    </row>
    <row r="148" spans="1:14" x14ac:dyDescent="0.55000000000000004">
      <c r="A148" s="11">
        <v>45048.402337962965</v>
      </c>
      <c r="B148" s="12" t="s">
        <v>191</v>
      </c>
      <c r="C148" s="12" t="s">
        <v>0</v>
      </c>
      <c r="D148" s="12" t="s">
        <v>84</v>
      </c>
      <c r="E148" s="12" t="s">
        <v>198</v>
      </c>
      <c r="F148" s="12"/>
      <c r="G148" s="12" t="s">
        <v>1</v>
      </c>
      <c r="H148" s="12" t="s">
        <v>10</v>
      </c>
      <c r="I148" s="12" t="s">
        <v>38</v>
      </c>
      <c r="J148" s="12" t="s">
        <v>2</v>
      </c>
      <c r="L148" s="4" t="e">
        <f>(#REF!-#REF!)</f>
        <v>#REF!</v>
      </c>
      <c r="M148" s="3" t="e">
        <f t="shared" si="4"/>
        <v>#REF!</v>
      </c>
      <c r="N148" s="2" t="e">
        <f>IF(#REF!=#REF!,"","Start")</f>
        <v>#REF!</v>
      </c>
    </row>
    <row r="149" spans="1:14" x14ac:dyDescent="0.55000000000000004">
      <c r="A149" s="11">
        <v>45048.402361111112</v>
      </c>
      <c r="B149" s="12" t="s">
        <v>191</v>
      </c>
      <c r="C149" s="12" t="s">
        <v>0</v>
      </c>
      <c r="D149" s="12" t="s">
        <v>84</v>
      </c>
      <c r="E149" s="12" t="s">
        <v>199</v>
      </c>
      <c r="F149" s="12"/>
      <c r="G149" s="12" t="s">
        <v>1</v>
      </c>
      <c r="H149" s="12" t="s">
        <v>10</v>
      </c>
      <c r="I149" s="12" t="s">
        <v>38</v>
      </c>
      <c r="J149" s="12" t="s">
        <v>2</v>
      </c>
      <c r="L149" s="4" t="e">
        <f>(#REF!-#REF!)</f>
        <v>#REF!</v>
      </c>
      <c r="M149" s="3" t="e">
        <f t="shared" si="4"/>
        <v>#REF!</v>
      </c>
      <c r="N149" s="2" t="e">
        <f>IF(#REF!=#REF!,"","Start")</f>
        <v>#REF!</v>
      </c>
    </row>
    <row r="150" spans="1:14" x14ac:dyDescent="0.55000000000000004">
      <c r="A150" s="11">
        <v>45048.402372685188</v>
      </c>
      <c r="B150" s="12" t="s">
        <v>191</v>
      </c>
      <c r="C150" s="12" t="s">
        <v>0</v>
      </c>
      <c r="D150" s="12" t="s">
        <v>84</v>
      </c>
      <c r="E150" s="12" t="s">
        <v>151</v>
      </c>
      <c r="F150" s="12" t="s">
        <v>43</v>
      </c>
      <c r="G150" s="12" t="s">
        <v>1</v>
      </c>
      <c r="H150" s="12" t="s">
        <v>10</v>
      </c>
      <c r="I150" s="12" t="s">
        <v>38</v>
      </c>
      <c r="J150" s="12" t="s">
        <v>2</v>
      </c>
      <c r="L150" s="4" t="e">
        <f>(#REF!-#REF!)</f>
        <v>#REF!</v>
      </c>
      <c r="M150" s="3" t="e">
        <f t="shared" si="4"/>
        <v>#REF!</v>
      </c>
      <c r="N150" s="2" t="e">
        <f>IF(#REF!=#REF!,"","Start")</f>
        <v>#REF!</v>
      </c>
    </row>
    <row r="151" spans="1:14" x14ac:dyDescent="0.55000000000000004">
      <c r="A151" s="11">
        <v>45048.402384259258</v>
      </c>
      <c r="B151" s="12" t="s">
        <v>191</v>
      </c>
      <c r="C151" s="12" t="s">
        <v>0</v>
      </c>
      <c r="D151" s="12" t="s">
        <v>84</v>
      </c>
      <c r="E151" s="12" t="s">
        <v>151</v>
      </c>
      <c r="F151" s="12" t="s">
        <v>196</v>
      </c>
      <c r="G151" s="12" t="s">
        <v>1</v>
      </c>
      <c r="H151" s="12" t="s">
        <v>10</v>
      </c>
      <c r="I151" s="12" t="s">
        <v>38</v>
      </c>
      <c r="J151" s="12" t="s">
        <v>2</v>
      </c>
      <c r="L151" s="4" t="e">
        <f>(#REF!-#REF!)</f>
        <v>#REF!</v>
      </c>
      <c r="M151" s="3" t="e">
        <f t="shared" si="4"/>
        <v>#REF!</v>
      </c>
      <c r="N151" s="2" t="e">
        <f>IF(#REF!=#REF!,"","Start")</f>
        <v>#REF!</v>
      </c>
    </row>
    <row r="152" spans="1:14" x14ac:dyDescent="0.55000000000000004">
      <c r="A152" s="11">
        <v>45048.402395833335</v>
      </c>
      <c r="B152" s="12" t="s">
        <v>191</v>
      </c>
      <c r="C152" s="12" t="s">
        <v>0</v>
      </c>
      <c r="D152" s="12" t="s">
        <v>84</v>
      </c>
      <c r="E152" s="12" t="s">
        <v>151</v>
      </c>
      <c r="F152" s="12" t="s">
        <v>195</v>
      </c>
      <c r="G152" s="12" t="s">
        <v>1</v>
      </c>
      <c r="H152" s="12" t="s">
        <v>10</v>
      </c>
      <c r="I152" s="12" t="s">
        <v>38</v>
      </c>
      <c r="J152" s="12" t="s">
        <v>2</v>
      </c>
      <c r="L152" s="4" t="e">
        <f>(#REF!-#REF!)</f>
        <v>#REF!</v>
      </c>
      <c r="M152" s="3" t="e">
        <f t="shared" si="4"/>
        <v>#REF!</v>
      </c>
      <c r="N152" s="2" t="e">
        <f>IF(#REF!=#REF!,"","Start")</f>
        <v>#REF!</v>
      </c>
    </row>
    <row r="153" spans="1:14" x14ac:dyDescent="0.55000000000000004">
      <c r="A153" s="11">
        <v>45048.40284722222</v>
      </c>
      <c r="B153" s="12" t="s">
        <v>191</v>
      </c>
      <c r="C153" s="12" t="s">
        <v>0</v>
      </c>
      <c r="D153" s="12" t="s">
        <v>84</v>
      </c>
      <c r="E153" s="12" t="s">
        <v>194</v>
      </c>
      <c r="F153" s="12"/>
      <c r="G153" s="12" t="s">
        <v>1</v>
      </c>
      <c r="H153" s="12" t="s">
        <v>10</v>
      </c>
      <c r="I153" s="12" t="s">
        <v>38</v>
      </c>
      <c r="J153" s="12" t="s">
        <v>2</v>
      </c>
      <c r="L153" s="4" t="e">
        <f>(#REF!-#REF!)</f>
        <v>#REF!</v>
      </c>
      <c r="M153" s="3" t="e">
        <f t="shared" si="4"/>
        <v>#REF!</v>
      </c>
      <c r="N153" s="2" t="e">
        <f>IF(#REF!=#REF!,"","Start")</f>
        <v>#REF!</v>
      </c>
    </row>
    <row r="154" spans="1:14" x14ac:dyDescent="0.55000000000000004">
      <c r="A154" s="11">
        <v>45048.402858796297</v>
      </c>
      <c r="B154" s="12" t="s">
        <v>191</v>
      </c>
      <c r="C154" s="12" t="s">
        <v>0</v>
      </c>
      <c r="D154" s="12" t="s">
        <v>84</v>
      </c>
      <c r="E154" s="12" t="s">
        <v>151</v>
      </c>
      <c r="F154" s="12" t="s">
        <v>43</v>
      </c>
      <c r="G154" s="12" t="s">
        <v>1</v>
      </c>
      <c r="H154" s="12" t="s">
        <v>10</v>
      </c>
      <c r="I154" s="12" t="s">
        <v>38</v>
      </c>
      <c r="J154" s="12" t="s">
        <v>2</v>
      </c>
      <c r="L154" s="4" t="e">
        <f>(#REF!-#REF!)</f>
        <v>#REF!</v>
      </c>
      <c r="M154" s="3" t="e">
        <f t="shared" si="4"/>
        <v>#REF!</v>
      </c>
      <c r="N154" s="2" t="e">
        <f>IF(#REF!=#REF!,"","Start")</f>
        <v>#REF!</v>
      </c>
    </row>
    <row r="155" spans="1:14" x14ac:dyDescent="0.55000000000000004">
      <c r="A155" s="11">
        <v>45048.402870370373</v>
      </c>
      <c r="B155" s="12" t="s">
        <v>191</v>
      </c>
      <c r="C155" s="12" t="s">
        <v>0</v>
      </c>
      <c r="D155" s="12" t="s">
        <v>84</v>
      </c>
      <c r="E155" s="12" t="s">
        <v>151</v>
      </c>
      <c r="F155" s="12" t="s">
        <v>195</v>
      </c>
      <c r="G155" s="12" t="s">
        <v>1</v>
      </c>
      <c r="H155" s="12" t="s">
        <v>10</v>
      </c>
      <c r="I155" s="12" t="s">
        <v>38</v>
      </c>
      <c r="J155" s="12" t="s">
        <v>2</v>
      </c>
      <c r="L155" s="4" t="e">
        <f>(#REF!-#REF!)</f>
        <v>#REF!</v>
      </c>
      <c r="M155" s="3" t="e">
        <f t="shared" si="4"/>
        <v>#REF!</v>
      </c>
      <c r="N155" s="2" t="e">
        <f>IF(#REF!=#REF!,"","Start")</f>
        <v>#REF!</v>
      </c>
    </row>
    <row r="156" spans="1:14" x14ac:dyDescent="0.55000000000000004">
      <c r="A156" s="11">
        <v>45048.402881944443</v>
      </c>
      <c r="B156" s="12" t="s">
        <v>191</v>
      </c>
      <c r="C156" s="12" t="s">
        <v>0</v>
      </c>
      <c r="D156" s="12" t="s">
        <v>84</v>
      </c>
      <c r="E156" s="12" t="s">
        <v>151</v>
      </c>
      <c r="F156" s="12" t="s">
        <v>196</v>
      </c>
      <c r="G156" s="12" t="s">
        <v>1</v>
      </c>
      <c r="H156" s="12" t="s">
        <v>10</v>
      </c>
      <c r="I156" s="12" t="s">
        <v>38</v>
      </c>
      <c r="J156" s="12" t="s">
        <v>2</v>
      </c>
      <c r="L156" s="4" t="e">
        <f>(#REF!-#REF!)</f>
        <v>#REF!</v>
      </c>
      <c r="M156" s="3" t="e">
        <f t="shared" si="4"/>
        <v>#REF!</v>
      </c>
      <c r="N156" s="2" t="e">
        <f>IF(#REF!=#REF!,"","Start")</f>
        <v>#REF!</v>
      </c>
    </row>
    <row r="157" spans="1:14" x14ac:dyDescent="0.55000000000000004">
      <c r="A157" s="11">
        <v>45048.402905092589</v>
      </c>
      <c r="B157" s="12" t="s">
        <v>191</v>
      </c>
      <c r="C157" s="12" t="s">
        <v>0</v>
      </c>
      <c r="D157" s="12" t="s">
        <v>84</v>
      </c>
      <c r="E157" s="12" t="s">
        <v>151</v>
      </c>
      <c r="F157" s="12" t="s">
        <v>196</v>
      </c>
      <c r="G157" s="12" t="s">
        <v>1</v>
      </c>
      <c r="H157" s="12" t="s">
        <v>10</v>
      </c>
      <c r="I157" s="12" t="s">
        <v>38</v>
      </c>
      <c r="J157" s="12" t="s">
        <v>2</v>
      </c>
      <c r="L157" s="4" t="e">
        <f>(#REF!-#REF!)</f>
        <v>#REF!</v>
      </c>
      <c r="M157" s="3" t="e">
        <f t="shared" si="4"/>
        <v>#REF!</v>
      </c>
      <c r="N157" s="2" t="e">
        <f>IF(#REF!=#REF!,"","Start")</f>
        <v>#REF!</v>
      </c>
    </row>
    <row r="158" spans="1:14" x14ac:dyDescent="0.55000000000000004">
      <c r="A158" s="11">
        <v>45048.402916666666</v>
      </c>
      <c r="B158" s="12" t="s">
        <v>191</v>
      </c>
      <c r="C158" s="12" t="s">
        <v>0</v>
      </c>
      <c r="D158" s="12" t="s">
        <v>84</v>
      </c>
      <c r="E158" s="12" t="s">
        <v>151</v>
      </c>
      <c r="F158" s="12" t="s">
        <v>196</v>
      </c>
      <c r="G158" s="12" t="s">
        <v>1</v>
      </c>
      <c r="H158" s="12" t="s">
        <v>10</v>
      </c>
      <c r="I158" s="12" t="s">
        <v>38</v>
      </c>
      <c r="J158" s="12" t="s">
        <v>2</v>
      </c>
      <c r="L158" s="4" t="e">
        <f>(#REF!-#REF!)</f>
        <v>#REF!</v>
      </c>
      <c r="M158" s="3" t="e">
        <f t="shared" si="4"/>
        <v>#REF!</v>
      </c>
      <c r="N158" s="2" t="e">
        <f>IF(#REF!=#REF!,"","Start")</f>
        <v>#REF!</v>
      </c>
    </row>
    <row r="159" spans="1:14" x14ac:dyDescent="0.55000000000000004">
      <c r="A159" s="11">
        <v>45048.402928240743</v>
      </c>
      <c r="B159" s="12" t="s">
        <v>191</v>
      </c>
      <c r="C159" s="12" t="s">
        <v>0</v>
      </c>
      <c r="D159" s="12" t="s">
        <v>84</v>
      </c>
      <c r="E159" s="12" t="s">
        <v>194</v>
      </c>
      <c r="F159" s="12"/>
      <c r="G159" s="12" t="s">
        <v>1</v>
      </c>
      <c r="H159" s="12" t="s">
        <v>10</v>
      </c>
      <c r="I159" s="12" t="s">
        <v>38</v>
      </c>
      <c r="J159" s="12" t="s">
        <v>2</v>
      </c>
      <c r="L159" s="4" t="e">
        <f>(#REF!-#REF!)</f>
        <v>#REF!</v>
      </c>
      <c r="M159" s="3" t="e">
        <f t="shared" si="4"/>
        <v>#REF!</v>
      </c>
      <c r="N159" s="2" t="e">
        <f>IF(#REF!=#REF!,"","Start")</f>
        <v>#REF!</v>
      </c>
    </row>
    <row r="160" spans="1:14" x14ac:dyDescent="0.55000000000000004">
      <c r="A160" s="11">
        <v>45048.40520833333</v>
      </c>
      <c r="B160" s="12" t="s">
        <v>191</v>
      </c>
      <c r="C160" s="12" t="s">
        <v>0</v>
      </c>
      <c r="D160" s="12" t="s">
        <v>84</v>
      </c>
      <c r="E160" s="12" t="s">
        <v>198</v>
      </c>
      <c r="F160" s="12"/>
      <c r="G160" s="12" t="s">
        <v>1</v>
      </c>
      <c r="H160" s="12" t="s">
        <v>10</v>
      </c>
      <c r="I160" s="12" t="s">
        <v>38</v>
      </c>
      <c r="J160" s="12" t="s">
        <v>2</v>
      </c>
      <c r="L160" s="4" t="e">
        <f>(#REF!-#REF!)</f>
        <v>#REF!</v>
      </c>
      <c r="M160" s="3" t="e">
        <f t="shared" si="4"/>
        <v>#REF!</v>
      </c>
      <c r="N160" s="2" t="e">
        <f>IF(#REF!=#REF!,"","Start")</f>
        <v>#REF!</v>
      </c>
    </row>
    <row r="161" spans="1:14" x14ac:dyDescent="0.55000000000000004">
      <c r="A161" s="11">
        <v>45048.405219907407</v>
      </c>
      <c r="B161" s="12" t="s">
        <v>191</v>
      </c>
      <c r="C161" s="12" t="s">
        <v>0</v>
      </c>
      <c r="D161" s="12" t="s">
        <v>84</v>
      </c>
      <c r="E161" s="12" t="s">
        <v>198</v>
      </c>
      <c r="F161" s="12"/>
      <c r="G161" s="12" t="s">
        <v>1</v>
      </c>
      <c r="H161" s="12" t="s">
        <v>10</v>
      </c>
      <c r="I161" s="12" t="s">
        <v>38</v>
      </c>
      <c r="J161" s="12" t="s">
        <v>2</v>
      </c>
      <c r="L161" s="4" t="e">
        <f>(#REF!-#REF!)</f>
        <v>#REF!</v>
      </c>
      <c r="M161" s="3" t="e">
        <f t="shared" si="4"/>
        <v>#REF!</v>
      </c>
      <c r="N161" s="2" t="e">
        <f>IF(#REF!=#REF!,"","Start")</f>
        <v>#REF!</v>
      </c>
    </row>
    <row r="162" spans="1:14" x14ac:dyDescent="0.55000000000000004">
      <c r="A162" s="11">
        <v>45048.405231481483</v>
      </c>
      <c r="B162" s="12" t="s">
        <v>191</v>
      </c>
      <c r="C162" s="12" t="s">
        <v>0</v>
      </c>
      <c r="D162" s="12" t="s">
        <v>84</v>
      </c>
      <c r="E162" s="12" t="s">
        <v>151</v>
      </c>
      <c r="F162" s="12" t="s">
        <v>43</v>
      </c>
      <c r="G162" s="12" t="s">
        <v>1</v>
      </c>
      <c r="H162" s="12" t="s">
        <v>10</v>
      </c>
      <c r="I162" s="12" t="s">
        <v>38</v>
      </c>
      <c r="J162" s="12" t="s">
        <v>2</v>
      </c>
      <c r="L162" s="4" t="e">
        <f>(#REF!-#REF!)</f>
        <v>#REF!</v>
      </c>
      <c r="M162" s="3" t="e">
        <f t="shared" si="4"/>
        <v>#REF!</v>
      </c>
      <c r="N162" s="2" t="e">
        <f>IF(#REF!=#REF!,"","Start")</f>
        <v>#REF!</v>
      </c>
    </row>
    <row r="163" spans="1:14" x14ac:dyDescent="0.55000000000000004">
      <c r="A163" s="11">
        <v>45048.405451388891</v>
      </c>
      <c r="B163" s="12" t="s">
        <v>191</v>
      </c>
      <c r="C163" s="12" t="s">
        <v>0</v>
      </c>
      <c r="D163" s="12" t="s">
        <v>84</v>
      </c>
      <c r="E163" s="12" t="s">
        <v>194</v>
      </c>
      <c r="F163" s="12"/>
      <c r="G163" s="12" t="s">
        <v>1</v>
      </c>
      <c r="H163" s="12" t="s">
        <v>10</v>
      </c>
      <c r="I163" s="12" t="s">
        <v>38</v>
      </c>
      <c r="J163" s="12" t="s">
        <v>2</v>
      </c>
      <c r="L163" s="4" t="e">
        <f>(#REF!-#REF!)</f>
        <v>#REF!</v>
      </c>
      <c r="M163" s="3" t="e">
        <f t="shared" si="4"/>
        <v>#REF!</v>
      </c>
      <c r="N163" s="2" t="e">
        <f>IF(#REF!=#REF!,"","Start")</f>
        <v>#REF!</v>
      </c>
    </row>
    <row r="164" spans="1:14" x14ac:dyDescent="0.55000000000000004">
      <c r="A164" s="11">
        <v>45048.406759259262</v>
      </c>
      <c r="B164" s="12" t="s">
        <v>191</v>
      </c>
      <c r="C164" s="12" t="s">
        <v>0</v>
      </c>
      <c r="D164" s="12" t="s">
        <v>84</v>
      </c>
      <c r="E164" s="12" t="s">
        <v>197</v>
      </c>
      <c r="F164" s="12"/>
      <c r="G164" s="12" t="s">
        <v>1</v>
      </c>
      <c r="H164" s="12" t="s">
        <v>10</v>
      </c>
      <c r="I164" s="12" t="s">
        <v>38</v>
      </c>
      <c r="J164" s="12" t="s">
        <v>2</v>
      </c>
      <c r="L164" s="4" t="e">
        <f>(#REF!-#REF!)</f>
        <v>#REF!</v>
      </c>
      <c r="M164" s="3" t="e">
        <f t="shared" si="4"/>
        <v>#REF!</v>
      </c>
      <c r="N164" s="2" t="e">
        <f>IF(#REF!=#REF!,"","Start")</f>
        <v>#REF!</v>
      </c>
    </row>
    <row r="165" spans="1:14" x14ac:dyDescent="0.55000000000000004">
      <c r="A165" s="11">
        <v>45048.406782407408</v>
      </c>
      <c r="B165" s="12" t="s">
        <v>191</v>
      </c>
      <c r="C165" s="12" t="s">
        <v>0</v>
      </c>
      <c r="D165" s="12" t="s">
        <v>85</v>
      </c>
      <c r="E165" s="12" t="s">
        <v>197</v>
      </c>
      <c r="F165" s="12"/>
      <c r="G165" s="12" t="s">
        <v>1</v>
      </c>
      <c r="H165" s="12" t="s">
        <v>10</v>
      </c>
      <c r="I165" s="12" t="s">
        <v>38</v>
      </c>
      <c r="J165" s="12" t="s">
        <v>2</v>
      </c>
      <c r="L165" s="4" t="e">
        <f>(#REF!-#REF!)</f>
        <v>#REF!</v>
      </c>
      <c r="M165" s="3" t="e">
        <f t="shared" si="4"/>
        <v>#REF!</v>
      </c>
      <c r="N165" s="2" t="e">
        <f>IF(#REF!=#REF!,"","Start")</f>
        <v>#REF!</v>
      </c>
    </row>
    <row r="166" spans="1:14" x14ac:dyDescent="0.55000000000000004">
      <c r="A166" s="11">
        <v>45048.406805555554</v>
      </c>
      <c r="B166" s="12" t="s">
        <v>191</v>
      </c>
      <c r="C166" s="12" t="s">
        <v>0</v>
      </c>
      <c r="D166" s="12" t="s">
        <v>87</v>
      </c>
      <c r="E166" s="12" t="s">
        <v>82</v>
      </c>
      <c r="F166" s="12"/>
      <c r="G166" s="12" t="s">
        <v>1</v>
      </c>
      <c r="H166" s="12" t="s">
        <v>10</v>
      </c>
      <c r="I166" s="12" t="s">
        <v>38</v>
      </c>
      <c r="J166" s="12" t="s">
        <v>2</v>
      </c>
      <c r="L166" s="4" t="e">
        <f>(#REF!-#REF!)</f>
        <v>#REF!</v>
      </c>
      <c r="M166" s="3" t="e">
        <f t="shared" si="4"/>
        <v>#REF!</v>
      </c>
      <c r="N166" s="2" t="e">
        <f>IF(#REF!=#REF!,"","Start")</f>
        <v>#REF!</v>
      </c>
    </row>
    <row r="167" spans="1:14" x14ac:dyDescent="0.55000000000000004">
      <c r="A167" s="11">
        <v>45048.410219907404</v>
      </c>
      <c r="B167" s="12" t="s">
        <v>191</v>
      </c>
      <c r="C167" s="12" t="s">
        <v>0</v>
      </c>
      <c r="D167" s="12" t="s">
        <v>86</v>
      </c>
      <c r="E167" s="12" t="s">
        <v>80</v>
      </c>
      <c r="F167" s="12"/>
      <c r="G167" s="12" t="s">
        <v>1</v>
      </c>
      <c r="H167" s="12" t="s">
        <v>10</v>
      </c>
      <c r="I167" s="12" t="s">
        <v>38</v>
      </c>
      <c r="J167" s="12" t="s">
        <v>2</v>
      </c>
      <c r="L167" s="4" t="e">
        <f>(#REF!-#REF!)</f>
        <v>#REF!</v>
      </c>
      <c r="M167" s="3" t="e">
        <f t="shared" si="4"/>
        <v>#REF!</v>
      </c>
      <c r="N167" s="2" t="e">
        <f>IF(#REF!=#REF!,"","Start")</f>
        <v>#REF!</v>
      </c>
    </row>
    <row r="168" spans="1:14" x14ac:dyDescent="0.55000000000000004">
      <c r="A168" s="11">
        <v>45048.410266203704</v>
      </c>
      <c r="B168" s="12" t="s">
        <v>191</v>
      </c>
      <c r="C168" s="12" t="s">
        <v>0</v>
      </c>
      <c r="D168" s="12" t="s">
        <v>85</v>
      </c>
      <c r="E168" s="12" t="s">
        <v>155</v>
      </c>
      <c r="F168" s="12"/>
      <c r="G168" s="12" t="s">
        <v>1</v>
      </c>
      <c r="H168" s="12" t="s">
        <v>10</v>
      </c>
      <c r="I168" s="12" t="s">
        <v>38</v>
      </c>
      <c r="J168" s="12" t="s">
        <v>2</v>
      </c>
      <c r="L168" s="4" t="e">
        <f>(#REF!-#REF!)</f>
        <v>#REF!</v>
      </c>
      <c r="M168" s="3" t="e">
        <f t="shared" si="4"/>
        <v>#REF!</v>
      </c>
      <c r="N168" s="2" t="e">
        <f>IF(#REF!=#REF!,"","Start")</f>
        <v>#REF!</v>
      </c>
    </row>
    <row r="169" spans="1:14" x14ac:dyDescent="0.55000000000000004">
      <c r="A169" s="11">
        <v>45048.410277777781</v>
      </c>
      <c r="B169" s="12" t="s">
        <v>191</v>
      </c>
      <c r="C169" s="12" t="s">
        <v>0</v>
      </c>
      <c r="D169" s="12" t="s">
        <v>85</v>
      </c>
      <c r="E169" s="12" t="s">
        <v>73</v>
      </c>
      <c r="F169" s="12"/>
      <c r="G169" s="12" t="s">
        <v>1</v>
      </c>
      <c r="H169" s="12" t="s">
        <v>10</v>
      </c>
      <c r="I169" s="12" t="s">
        <v>38</v>
      </c>
      <c r="J169" s="12" t="s">
        <v>2</v>
      </c>
      <c r="L169" s="4" t="e">
        <f>(#REF!-#REF!)</f>
        <v>#REF!</v>
      </c>
      <c r="M169" s="3" t="e">
        <f t="shared" si="4"/>
        <v>#REF!</v>
      </c>
      <c r="N169" s="2" t="e">
        <f>IF(#REF!=#REF!,"","Start")</f>
        <v>#REF!</v>
      </c>
    </row>
    <row r="170" spans="1:14" x14ac:dyDescent="0.55000000000000004">
      <c r="A170" s="11">
        <v>45048.410300925927</v>
      </c>
      <c r="B170" s="12" t="s">
        <v>191</v>
      </c>
      <c r="C170" s="12" t="s">
        <v>0</v>
      </c>
      <c r="D170" s="12" t="s">
        <v>84</v>
      </c>
      <c r="E170" s="12" t="s">
        <v>159</v>
      </c>
      <c r="F170" s="12" t="s">
        <v>160</v>
      </c>
      <c r="G170" s="12" t="s">
        <v>1</v>
      </c>
      <c r="H170" s="12" t="s">
        <v>10</v>
      </c>
      <c r="I170" s="12" t="s">
        <v>38</v>
      </c>
      <c r="J170" s="12" t="s">
        <v>2</v>
      </c>
      <c r="L170" s="4" t="e">
        <f>(#REF!-#REF!)</f>
        <v>#REF!</v>
      </c>
      <c r="M170" s="3" t="e">
        <f t="shared" si="4"/>
        <v>#REF!</v>
      </c>
      <c r="N170" s="2" t="e">
        <f>IF(#REF!=#REF!,"","Start")</f>
        <v>#REF!</v>
      </c>
    </row>
    <row r="171" spans="1:14" x14ac:dyDescent="0.55000000000000004">
      <c r="A171" s="11">
        <v>45048.410312499997</v>
      </c>
      <c r="B171" s="12" t="s">
        <v>191</v>
      </c>
      <c r="C171" s="12" t="s">
        <v>0</v>
      </c>
      <c r="D171" s="12" t="s">
        <v>84</v>
      </c>
      <c r="E171" s="12" t="s">
        <v>159</v>
      </c>
      <c r="F171" s="12" t="s">
        <v>182</v>
      </c>
      <c r="G171" s="12" t="s">
        <v>1</v>
      </c>
      <c r="H171" s="12" t="s">
        <v>10</v>
      </c>
      <c r="I171" s="12" t="s">
        <v>38</v>
      </c>
      <c r="J171" s="12" t="s">
        <v>2</v>
      </c>
      <c r="L171" s="4" t="e">
        <f>(#REF!-#REF!)</f>
        <v>#REF!</v>
      </c>
      <c r="M171" s="3" t="e">
        <f t="shared" si="4"/>
        <v>#REF!</v>
      </c>
      <c r="N171" s="2" t="e">
        <f>IF(#REF!=#REF!,"","Start")</f>
        <v>#REF!</v>
      </c>
    </row>
    <row r="172" spans="1:14" x14ac:dyDescent="0.55000000000000004">
      <c r="A172" s="11">
        <v>45048.410358796296</v>
      </c>
      <c r="B172" s="12" t="s">
        <v>191</v>
      </c>
      <c r="C172" s="12" t="s">
        <v>0</v>
      </c>
      <c r="D172" s="12" t="s">
        <v>84</v>
      </c>
      <c r="E172" s="12" t="s">
        <v>151</v>
      </c>
      <c r="F172" s="12" t="s">
        <v>43</v>
      </c>
      <c r="G172" s="12" t="s">
        <v>1</v>
      </c>
      <c r="H172" s="12" t="s">
        <v>10</v>
      </c>
      <c r="I172" s="12" t="s">
        <v>38</v>
      </c>
      <c r="J172" s="12" t="s">
        <v>2</v>
      </c>
      <c r="L172" s="4" t="e">
        <f>(#REF!-#REF!)</f>
        <v>#REF!</v>
      </c>
      <c r="M172" s="3" t="e">
        <f t="shared" si="4"/>
        <v>#REF!</v>
      </c>
      <c r="N172" s="2" t="e">
        <f>IF(#REF!=#REF!,"","Start")</f>
        <v>#REF!</v>
      </c>
    </row>
    <row r="173" spans="1:14" x14ac:dyDescent="0.55000000000000004">
      <c r="A173" s="11">
        <v>45048.410370370373</v>
      </c>
      <c r="B173" s="12" t="s">
        <v>191</v>
      </c>
      <c r="C173" s="12" t="s">
        <v>0</v>
      </c>
      <c r="D173" s="12" t="s">
        <v>84</v>
      </c>
      <c r="E173" s="12" t="s">
        <v>151</v>
      </c>
      <c r="F173" s="12" t="s">
        <v>196</v>
      </c>
      <c r="G173" s="12" t="s">
        <v>1</v>
      </c>
      <c r="H173" s="12" t="s">
        <v>10</v>
      </c>
      <c r="I173" s="12" t="s">
        <v>38</v>
      </c>
      <c r="J173" s="12" t="s">
        <v>2</v>
      </c>
      <c r="L173" s="4" t="e">
        <f>(#REF!-#REF!)</f>
        <v>#REF!</v>
      </c>
      <c r="M173" s="3" t="e">
        <f t="shared" si="4"/>
        <v>#REF!</v>
      </c>
      <c r="N173" s="2" t="e">
        <f>IF(#REF!=#REF!,"","Start")</f>
        <v>#REF!</v>
      </c>
    </row>
    <row r="174" spans="1:14" x14ac:dyDescent="0.55000000000000004">
      <c r="A174" s="11">
        <v>45048.410393518519</v>
      </c>
      <c r="B174" s="12" t="s">
        <v>191</v>
      </c>
      <c r="C174" s="12" t="s">
        <v>0</v>
      </c>
      <c r="D174" s="12" t="s">
        <v>84</v>
      </c>
      <c r="E174" s="12" t="s">
        <v>194</v>
      </c>
      <c r="F174" s="12"/>
      <c r="G174" s="12" t="s">
        <v>1</v>
      </c>
      <c r="H174" s="12" t="s">
        <v>10</v>
      </c>
      <c r="I174" s="12" t="s">
        <v>38</v>
      </c>
      <c r="J174" s="12" t="s">
        <v>2</v>
      </c>
      <c r="L174" s="4" t="e">
        <f>(#REF!-#REF!)</f>
        <v>#REF!</v>
      </c>
      <c r="M174" s="3" t="e">
        <f t="shared" si="4"/>
        <v>#REF!</v>
      </c>
      <c r="N174" s="2" t="e">
        <f>IF(#REF!=#REF!,"","Start")</f>
        <v>#REF!</v>
      </c>
    </row>
    <row r="175" spans="1:14" x14ac:dyDescent="0.55000000000000004">
      <c r="A175" s="11">
        <v>45048.410393518519</v>
      </c>
      <c r="B175" s="12" t="s">
        <v>191</v>
      </c>
      <c r="C175" s="12" t="s">
        <v>0</v>
      </c>
      <c r="D175" s="12" t="s">
        <v>84</v>
      </c>
      <c r="E175" s="12" t="s">
        <v>151</v>
      </c>
      <c r="F175" s="12" t="s">
        <v>195</v>
      </c>
      <c r="G175" s="12" t="s">
        <v>1</v>
      </c>
      <c r="H175" s="12" t="s">
        <v>10</v>
      </c>
      <c r="I175" s="12" t="s">
        <v>38</v>
      </c>
      <c r="J175" s="12" t="s">
        <v>2</v>
      </c>
      <c r="L175" s="4" t="e">
        <f>(#REF!-#REF!)</f>
        <v>#REF!</v>
      </c>
      <c r="M175" s="3" t="e">
        <f t="shared" si="4"/>
        <v>#REF!</v>
      </c>
      <c r="N175" s="2" t="e">
        <f>IF(#REF!=#REF!,"","Start")</f>
        <v>#REF!</v>
      </c>
    </row>
    <row r="176" spans="1:14" x14ac:dyDescent="0.55000000000000004">
      <c r="A176" s="11">
        <v>45048.410416666666</v>
      </c>
      <c r="B176" s="12" t="s">
        <v>191</v>
      </c>
      <c r="C176" s="12" t="s">
        <v>0</v>
      </c>
      <c r="D176" s="12" t="s">
        <v>84</v>
      </c>
      <c r="E176" s="12" t="s">
        <v>73</v>
      </c>
      <c r="F176" s="12"/>
      <c r="G176" s="12" t="s">
        <v>1</v>
      </c>
      <c r="H176" s="12" t="s">
        <v>10</v>
      </c>
      <c r="I176" s="12" t="s">
        <v>38</v>
      </c>
      <c r="J176" s="12" t="s">
        <v>2</v>
      </c>
      <c r="L176" s="4" t="e">
        <f>(#REF!-#REF!)</f>
        <v>#REF!</v>
      </c>
      <c r="M176" s="3" t="e">
        <f t="shared" si="4"/>
        <v>#REF!</v>
      </c>
      <c r="N176" s="2" t="e">
        <f>IF(#REF!=#REF!,"","Start")</f>
        <v>#REF!</v>
      </c>
    </row>
    <row r="177" spans="1:14" x14ac:dyDescent="0.55000000000000004">
      <c r="A177" s="11">
        <v>45048.411481481482</v>
      </c>
      <c r="B177" s="12" t="s">
        <v>191</v>
      </c>
      <c r="C177" s="12" t="s">
        <v>0</v>
      </c>
      <c r="D177" s="12" t="s">
        <v>83</v>
      </c>
      <c r="E177" s="12" t="s">
        <v>73</v>
      </c>
      <c r="F177" s="12"/>
      <c r="G177" s="12" t="s">
        <v>1</v>
      </c>
      <c r="H177" s="12" t="s">
        <v>10</v>
      </c>
      <c r="I177" s="12" t="s">
        <v>38</v>
      </c>
      <c r="J177" s="12" t="s">
        <v>2</v>
      </c>
      <c r="L177" s="4" t="e">
        <f>(#REF!-#REF!)</f>
        <v>#REF!</v>
      </c>
      <c r="M177" s="3" t="e">
        <f t="shared" si="4"/>
        <v>#REF!</v>
      </c>
      <c r="N177" s="2" t="e">
        <f>IF(#REF!=#REF!,"","Start")</f>
        <v>#REF!</v>
      </c>
    </row>
    <row r="178" spans="1:14" x14ac:dyDescent="0.55000000000000004">
      <c r="A178" s="11">
        <v>45048.411539351851</v>
      </c>
      <c r="B178" s="12" t="s">
        <v>191</v>
      </c>
      <c r="C178" s="12" t="s">
        <v>0</v>
      </c>
      <c r="D178" s="12" t="s">
        <v>81</v>
      </c>
      <c r="E178" s="12" t="s">
        <v>90</v>
      </c>
      <c r="F178" s="12"/>
      <c r="G178" s="12" t="s">
        <v>1</v>
      </c>
      <c r="H178" s="12" t="s">
        <v>10</v>
      </c>
      <c r="I178" s="12" t="s">
        <v>38</v>
      </c>
      <c r="J178" s="12" t="s">
        <v>2</v>
      </c>
      <c r="L178" s="4" t="e">
        <f>(#REF!-#REF!)</f>
        <v>#REF!</v>
      </c>
      <c r="M178" s="3" t="e">
        <f t="shared" si="4"/>
        <v>#REF!</v>
      </c>
      <c r="N178" s="2" t="e">
        <f>IF(#REF!=#REF!,"","Start")</f>
        <v>#REF!</v>
      </c>
    </row>
    <row r="179" spans="1:14" x14ac:dyDescent="0.55000000000000004">
      <c r="A179" s="11">
        <v>45048.411574074074</v>
      </c>
      <c r="B179" s="12" t="s">
        <v>191</v>
      </c>
      <c r="C179" s="12" t="s">
        <v>0</v>
      </c>
      <c r="D179" s="12" t="s">
        <v>88</v>
      </c>
      <c r="E179" s="12" t="s">
        <v>89</v>
      </c>
      <c r="F179" s="12"/>
      <c r="G179" s="12" t="s">
        <v>1</v>
      </c>
      <c r="H179" s="12" t="s">
        <v>10</v>
      </c>
      <c r="I179" s="12" t="s">
        <v>38</v>
      </c>
      <c r="J179" s="12" t="s">
        <v>2</v>
      </c>
      <c r="L179" s="4" t="e">
        <f>(#REF!-#REF!)</f>
        <v>#REF!</v>
      </c>
      <c r="M179" s="3" t="e">
        <f t="shared" si="4"/>
        <v>#REF!</v>
      </c>
      <c r="N179" s="2" t="e">
        <f>IF(#REF!=#REF!,"","Start")</f>
        <v>#REF!</v>
      </c>
    </row>
    <row r="180" spans="1:14" x14ac:dyDescent="0.55000000000000004">
      <c r="A180" s="11">
        <v>45048.41165509259</v>
      </c>
      <c r="B180" s="12" t="s">
        <v>191</v>
      </c>
      <c r="C180" s="12" t="s">
        <v>0</v>
      </c>
      <c r="D180" s="12" t="s">
        <v>87</v>
      </c>
      <c r="E180" s="12" t="s">
        <v>71</v>
      </c>
      <c r="F180" s="12"/>
      <c r="G180" s="12" t="s">
        <v>1</v>
      </c>
      <c r="H180" s="12" t="s">
        <v>10</v>
      </c>
      <c r="I180" s="12" t="s">
        <v>38</v>
      </c>
      <c r="J180" s="12" t="s">
        <v>2</v>
      </c>
      <c r="L180" s="4" t="e">
        <f>(#REF!-#REF!)</f>
        <v>#REF!</v>
      </c>
      <c r="M180" s="3" t="e">
        <f t="shared" si="4"/>
        <v>#REF!</v>
      </c>
      <c r="N180" s="2" t="e">
        <f>IF(#REF!=#REF!,"","Start")</f>
        <v>#REF!</v>
      </c>
    </row>
    <row r="181" spans="1:14" x14ac:dyDescent="0.55000000000000004">
      <c r="A181" s="11">
        <v>45048.411736111113</v>
      </c>
      <c r="B181" s="12" t="s">
        <v>191</v>
      </c>
      <c r="C181" s="12" t="s">
        <v>0</v>
      </c>
      <c r="D181" s="12" t="s">
        <v>68</v>
      </c>
      <c r="E181" s="12" t="s">
        <v>69</v>
      </c>
      <c r="F181" s="12"/>
      <c r="G181" s="12" t="s">
        <v>1</v>
      </c>
      <c r="H181" s="12" t="s">
        <v>10</v>
      </c>
      <c r="I181" s="12" t="s">
        <v>38</v>
      </c>
      <c r="J181" s="12" t="s">
        <v>2</v>
      </c>
      <c r="L181" s="4" t="e">
        <f>(#REF!-#REF!)</f>
        <v>#REF!</v>
      </c>
      <c r="M181" s="3" t="e">
        <f t="shared" si="4"/>
        <v>#REF!</v>
      </c>
      <c r="N181" s="2" t="e">
        <f>IF(#REF!=#REF!,"","Start")</f>
        <v>#REF!</v>
      </c>
    </row>
    <row r="182" spans="1:14" x14ac:dyDescent="0.55000000000000004">
      <c r="A182" s="11">
        <v>45048.411759259259</v>
      </c>
      <c r="B182" s="12" t="s">
        <v>191</v>
      </c>
      <c r="C182" s="12" t="s">
        <v>0</v>
      </c>
      <c r="D182" s="12" t="s">
        <v>65</v>
      </c>
      <c r="E182" s="12" t="s">
        <v>67</v>
      </c>
      <c r="F182" s="12"/>
      <c r="G182" s="12" t="s">
        <v>1</v>
      </c>
      <c r="H182" s="12" t="s">
        <v>10</v>
      </c>
      <c r="I182" s="12" t="s">
        <v>38</v>
      </c>
      <c r="J182" s="12" t="s">
        <v>2</v>
      </c>
      <c r="L182" s="4" t="e">
        <f>(#REF!-#REF!)</f>
        <v>#REF!</v>
      </c>
      <c r="M182" s="3" t="e">
        <f t="shared" si="4"/>
        <v>#REF!</v>
      </c>
      <c r="N182" s="2" t="e">
        <f>IF(#REF!=#REF!,"","Start")</f>
        <v>#REF!</v>
      </c>
    </row>
    <row r="183" spans="1:14" x14ac:dyDescent="0.55000000000000004">
      <c r="A183" s="11">
        <v>45048.411793981482</v>
      </c>
      <c r="B183" s="12" t="s">
        <v>191</v>
      </c>
      <c r="C183" s="12" t="s">
        <v>0</v>
      </c>
      <c r="D183" s="12" t="s">
        <v>65</v>
      </c>
      <c r="E183" s="12" t="s">
        <v>3</v>
      </c>
      <c r="F183" s="12"/>
      <c r="G183" s="12" t="s">
        <v>1</v>
      </c>
      <c r="H183" s="12" t="s">
        <v>10</v>
      </c>
      <c r="I183" s="12" t="s">
        <v>38</v>
      </c>
      <c r="J183" s="12" t="s">
        <v>2</v>
      </c>
      <c r="L183" s="4" t="e">
        <f>(#REF!-#REF!)</f>
        <v>#REF!</v>
      </c>
      <c r="M183" s="3" t="e">
        <f t="shared" si="4"/>
        <v>#REF!</v>
      </c>
      <c r="N183" s="2" t="e">
        <f>IF(#REF!=#REF!,"","Start")</f>
        <v>#REF!</v>
      </c>
    </row>
    <row r="184" spans="1:14" x14ac:dyDescent="0.55000000000000004">
      <c r="A184" s="11">
        <v>45048.411817129629</v>
      </c>
      <c r="B184" s="12" t="s">
        <v>191</v>
      </c>
      <c r="C184" s="12" t="s">
        <v>0</v>
      </c>
      <c r="D184" s="12" t="s">
        <v>65</v>
      </c>
      <c r="E184" s="12" t="s">
        <v>119</v>
      </c>
      <c r="F184" s="12"/>
      <c r="G184" s="12" t="s">
        <v>1</v>
      </c>
      <c r="H184" s="12" t="s">
        <v>10</v>
      </c>
      <c r="I184" s="12" t="s">
        <v>38</v>
      </c>
      <c r="J184" s="12" t="s">
        <v>2</v>
      </c>
      <c r="L184" s="4" t="e">
        <f>(#REF!-#REF!)</f>
        <v>#REF!</v>
      </c>
      <c r="M184" s="3" t="e">
        <f t="shared" si="4"/>
        <v>#REF!</v>
      </c>
      <c r="N184" s="2" t="e">
        <f>IF(#REF!=#REF!,"","Start")</f>
        <v>#REF!</v>
      </c>
    </row>
    <row r="185" spans="1:14" x14ac:dyDescent="0.55000000000000004">
      <c r="A185" s="11">
        <v>45048.411828703705</v>
      </c>
      <c r="B185" s="12" t="s">
        <v>191</v>
      </c>
      <c r="C185" s="12" t="s">
        <v>0</v>
      </c>
      <c r="D185" s="12" t="s">
        <v>65</v>
      </c>
      <c r="E185" s="12" t="s">
        <v>3</v>
      </c>
      <c r="F185" s="12"/>
      <c r="G185" s="12" t="s">
        <v>1</v>
      </c>
      <c r="H185" s="12" t="s">
        <v>10</v>
      </c>
      <c r="I185" s="12" t="s">
        <v>38</v>
      </c>
      <c r="J185" s="12" t="s">
        <v>2</v>
      </c>
      <c r="L185" s="4" t="e">
        <f>(#REF!-#REF!)</f>
        <v>#REF!</v>
      </c>
      <c r="M185" s="3" t="e">
        <f t="shared" si="4"/>
        <v>#REF!</v>
      </c>
      <c r="N185" s="2" t="e">
        <f>IF(#REF!=#REF!,"","Start")</f>
        <v>#REF!</v>
      </c>
    </row>
    <row r="186" spans="1:14" x14ac:dyDescent="0.55000000000000004">
      <c r="A186" s="11">
        <v>45048.411874999998</v>
      </c>
      <c r="B186" s="12" t="s">
        <v>191</v>
      </c>
      <c r="C186" s="12" t="s">
        <v>0</v>
      </c>
      <c r="D186" s="12" t="s">
        <v>62</v>
      </c>
      <c r="E186" s="12" t="s">
        <v>3</v>
      </c>
      <c r="F186" s="12"/>
      <c r="G186" s="12" t="s">
        <v>1</v>
      </c>
      <c r="H186" s="12" t="s">
        <v>10</v>
      </c>
      <c r="I186" s="12" t="s">
        <v>38</v>
      </c>
      <c r="J186" s="12" t="s">
        <v>2</v>
      </c>
      <c r="L186" s="4" t="e">
        <f>(#REF!-#REF!)</f>
        <v>#REF!</v>
      </c>
      <c r="M186" s="3" t="e">
        <f t="shared" si="4"/>
        <v>#REF!</v>
      </c>
      <c r="N186" s="2" t="e">
        <f>IF(#REF!=#REF!,"","Start")</f>
        <v>#REF!</v>
      </c>
    </row>
    <row r="187" spans="1:14" x14ac:dyDescent="0.55000000000000004">
      <c r="A187" s="11">
        <v>45048.411886574075</v>
      </c>
      <c r="B187" s="12" t="s">
        <v>191</v>
      </c>
      <c r="C187" s="12" t="s">
        <v>0</v>
      </c>
      <c r="D187" s="12" t="s">
        <v>62</v>
      </c>
      <c r="E187" s="12" t="s">
        <v>64</v>
      </c>
      <c r="F187" s="12"/>
      <c r="G187" s="12" t="s">
        <v>1</v>
      </c>
      <c r="H187" s="12" t="s">
        <v>10</v>
      </c>
      <c r="I187" s="12" t="s">
        <v>38</v>
      </c>
      <c r="J187" s="12" t="s">
        <v>2</v>
      </c>
      <c r="L187" s="4" t="e">
        <f>(#REF!-#REF!)</f>
        <v>#REF!</v>
      </c>
      <c r="M187" s="3" t="e">
        <f t="shared" si="4"/>
        <v>#REF!</v>
      </c>
      <c r="N187" s="2" t="e">
        <f>IF(#REF!=#REF!,"","Start")</f>
        <v>#REF!</v>
      </c>
    </row>
    <row r="188" spans="1:14" x14ac:dyDescent="0.55000000000000004">
      <c r="A188" s="11">
        <v>45048.411898148152</v>
      </c>
      <c r="B188" s="12" t="s">
        <v>191</v>
      </c>
      <c r="C188" s="12" t="s">
        <v>0</v>
      </c>
      <c r="D188" s="12" t="s">
        <v>62</v>
      </c>
      <c r="E188" s="12" t="s">
        <v>3</v>
      </c>
      <c r="F188" s="12"/>
      <c r="G188" s="12" t="s">
        <v>1</v>
      </c>
      <c r="H188" s="12" t="s">
        <v>10</v>
      </c>
      <c r="I188" s="12" t="s">
        <v>38</v>
      </c>
      <c r="J188" s="12" t="s">
        <v>2</v>
      </c>
      <c r="L188" s="4" t="e">
        <f>(#REF!-#REF!)</f>
        <v>#REF!</v>
      </c>
      <c r="M188" s="3" t="e">
        <f t="shared" si="4"/>
        <v>#REF!</v>
      </c>
      <c r="N188" s="2" t="e">
        <f>IF(#REF!=#REF!,"","Start")</f>
        <v>#REF!</v>
      </c>
    </row>
    <row r="189" spans="1:14" x14ac:dyDescent="0.55000000000000004">
      <c r="A189" s="11">
        <v>45048.412118055552</v>
      </c>
      <c r="B189" s="12" t="s">
        <v>191</v>
      </c>
      <c r="C189" s="12" t="s">
        <v>0</v>
      </c>
      <c r="D189" s="12" t="s">
        <v>62</v>
      </c>
      <c r="E189" s="12" t="s">
        <v>124</v>
      </c>
      <c r="F189" s="12"/>
      <c r="G189" s="12" t="s">
        <v>1</v>
      </c>
      <c r="H189" s="12" t="s">
        <v>10</v>
      </c>
      <c r="I189" s="12" t="s">
        <v>38</v>
      </c>
      <c r="J189" s="12" t="s">
        <v>2</v>
      </c>
      <c r="L189" s="4" t="e">
        <f>(#REF!-#REF!)</f>
        <v>#REF!</v>
      </c>
      <c r="M189" s="3" t="e">
        <f t="shared" si="4"/>
        <v>#REF!</v>
      </c>
      <c r="N189" s="2" t="e">
        <f>IF(#REF!=#REF!,"","Start")</f>
        <v>#REF!</v>
      </c>
    </row>
    <row r="190" spans="1:14" x14ac:dyDescent="0.55000000000000004">
      <c r="A190" s="11">
        <v>45048.412430555552</v>
      </c>
      <c r="B190" s="12" t="s">
        <v>191</v>
      </c>
      <c r="C190" s="12" t="s">
        <v>0</v>
      </c>
      <c r="D190" s="12" t="s">
        <v>65</v>
      </c>
      <c r="E190" s="12" t="s">
        <v>3</v>
      </c>
      <c r="F190" s="12"/>
      <c r="G190" s="12" t="s">
        <v>1</v>
      </c>
      <c r="H190" s="12" t="s">
        <v>10</v>
      </c>
      <c r="I190" s="12" t="s">
        <v>38</v>
      </c>
      <c r="J190" s="12" t="s">
        <v>2</v>
      </c>
      <c r="L190" s="4" t="e">
        <f>(#REF!-#REF!)</f>
        <v>#REF!</v>
      </c>
      <c r="M190" s="3" t="e">
        <f t="shared" si="4"/>
        <v>#REF!</v>
      </c>
      <c r="N190" s="2" t="e">
        <f>IF(#REF!=#REF!,"","Start")</f>
        <v>#REF!</v>
      </c>
    </row>
    <row r="191" spans="1:14" x14ac:dyDescent="0.55000000000000004">
      <c r="A191" s="11">
        <v>45048.412453703706</v>
      </c>
      <c r="B191" s="12" t="s">
        <v>191</v>
      </c>
      <c r="C191" s="12" t="s">
        <v>0</v>
      </c>
      <c r="D191" s="12" t="s">
        <v>65</v>
      </c>
      <c r="E191" s="12" t="s">
        <v>119</v>
      </c>
      <c r="F191" s="12"/>
      <c r="G191" s="12" t="s">
        <v>1</v>
      </c>
      <c r="H191" s="12" t="s">
        <v>10</v>
      </c>
      <c r="I191" s="12" t="s">
        <v>38</v>
      </c>
      <c r="J191" s="12" t="s">
        <v>2</v>
      </c>
      <c r="L191" s="4" t="e">
        <f>(#REF!-#REF!)</f>
        <v>#REF!</v>
      </c>
      <c r="M191" s="3" t="e">
        <f t="shared" si="4"/>
        <v>#REF!</v>
      </c>
      <c r="N191" s="2" t="e">
        <f>IF(#REF!=#REF!,"","Start")</f>
        <v>#REF!</v>
      </c>
    </row>
    <row r="192" spans="1:14" x14ac:dyDescent="0.55000000000000004">
      <c r="A192" s="11">
        <v>45048.412465277775</v>
      </c>
      <c r="B192" s="12" t="s">
        <v>191</v>
      </c>
      <c r="C192" s="12" t="s">
        <v>0</v>
      </c>
      <c r="D192" s="12" t="s">
        <v>65</v>
      </c>
      <c r="E192" s="12" t="s">
        <v>67</v>
      </c>
      <c r="F192" s="12"/>
      <c r="G192" s="12" t="s">
        <v>1</v>
      </c>
      <c r="H192" s="12" t="s">
        <v>10</v>
      </c>
      <c r="I192" s="12" t="s">
        <v>38</v>
      </c>
      <c r="J192" s="12" t="s">
        <v>2</v>
      </c>
      <c r="L192" s="4" t="e">
        <f>(#REF!-#REF!)</f>
        <v>#REF!</v>
      </c>
      <c r="M192" s="3" t="e">
        <f t="shared" si="4"/>
        <v>#REF!</v>
      </c>
      <c r="N192" s="2" t="e">
        <f>IF(#REF!=#REF!,"","Start")</f>
        <v>#REF!</v>
      </c>
    </row>
    <row r="193" spans="1:15" x14ac:dyDescent="0.55000000000000004">
      <c r="A193" s="11">
        <v>45048.412476851852</v>
      </c>
      <c r="B193" s="12" t="s">
        <v>191</v>
      </c>
      <c r="C193" s="12" t="s">
        <v>0</v>
      </c>
      <c r="D193" s="12" t="s">
        <v>65</v>
      </c>
      <c r="E193" s="12" t="s">
        <v>3</v>
      </c>
      <c r="F193" s="12"/>
      <c r="G193" s="12" t="s">
        <v>1</v>
      </c>
      <c r="H193" s="12" t="s">
        <v>10</v>
      </c>
      <c r="I193" s="12" t="s">
        <v>38</v>
      </c>
      <c r="J193" s="12" t="s">
        <v>2</v>
      </c>
      <c r="L193" s="4" t="e">
        <f>(#REF!-#REF!)</f>
        <v>#REF!</v>
      </c>
      <c r="M193" s="3" t="e">
        <f t="shared" si="4"/>
        <v>#REF!</v>
      </c>
      <c r="N193" s="2" t="e">
        <f>IF(#REF!=#REF!,"","Start")</f>
        <v>#REF!</v>
      </c>
    </row>
    <row r="194" spans="1:15" x14ac:dyDescent="0.55000000000000004">
      <c r="A194" s="11">
        <v>45048.412511574075</v>
      </c>
      <c r="B194" s="12" t="s">
        <v>191</v>
      </c>
      <c r="C194" s="12" t="s">
        <v>0</v>
      </c>
      <c r="D194" s="12" t="s">
        <v>62</v>
      </c>
      <c r="E194" s="12" t="s">
        <v>64</v>
      </c>
      <c r="F194" s="12"/>
      <c r="G194" s="12" t="s">
        <v>1</v>
      </c>
      <c r="H194" s="12" t="s">
        <v>10</v>
      </c>
      <c r="I194" s="12" t="s">
        <v>38</v>
      </c>
      <c r="J194" s="12" t="s">
        <v>2</v>
      </c>
      <c r="L194" s="4" t="e">
        <f>(#REF!-#REF!)</f>
        <v>#REF!</v>
      </c>
      <c r="M194" s="3" t="e">
        <f t="shared" si="4"/>
        <v>#REF!</v>
      </c>
      <c r="N194" s="2" t="e">
        <f>IF(#REF!=#REF!,"","Start")</f>
        <v>#REF!</v>
      </c>
    </row>
    <row r="195" spans="1:15" x14ac:dyDescent="0.55000000000000004">
      <c r="A195" s="11">
        <v>45048.412731481483</v>
      </c>
      <c r="B195" s="12" t="s">
        <v>191</v>
      </c>
      <c r="C195" s="12" t="s">
        <v>0</v>
      </c>
      <c r="D195" s="12" t="s">
        <v>62</v>
      </c>
      <c r="E195" s="12" t="s">
        <v>124</v>
      </c>
      <c r="F195" s="12"/>
      <c r="G195" s="12" t="s">
        <v>1</v>
      </c>
      <c r="H195" s="12" t="s">
        <v>10</v>
      </c>
      <c r="I195" s="12" t="s">
        <v>38</v>
      </c>
      <c r="J195" s="12" t="s">
        <v>2</v>
      </c>
      <c r="L195" s="4" t="e">
        <f>(#REF!-#REF!)</f>
        <v>#REF!</v>
      </c>
      <c r="M195" s="3" t="e">
        <f t="shared" si="4"/>
        <v>#REF!</v>
      </c>
      <c r="N195" s="2" t="e">
        <f>IF(#REF!=#REF!,"","Start")</f>
        <v>#REF!</v>
      </c>
    </row>
    <row r="196" spans="1:15" x14ac:dyDescent="0.55000000000000004">
      <c r="A196" s="11">
        <v>45048.412766203706</v>
      </c>
      <c r="B196" s="12" t="s">
        <v>191</v>
      </c>
      <c r="C196" s="12" t="s">
        <v>0</v>
      </c>
      <c r="D196" s="12" t="s">
        <v>65</v>
      </c>
      <c r="E196" s="12" t="s">
        <v>3</v>
      </c>
      <c r="F196" s="12"/>
      <c r="G196" s="12" t="s">
        <v>1</v>
      </c>
      <c r="H196" s="12" t="s">
        <v>10</v>
      </c>
      <c r="I196" s="12" t="s">
        <v>38</v>
      </c>
      <c r="J196" s="12" t="s">
        <v>2</v>
      </c>
      <c r="L196" s="4" t="e">
        <f>(#REF!-#REF!)</f>
        <v>#REF!</v>
      </c>
      <c r="M196" s="3" t="e">
        <f t="shared" ref="M196:M259" si="5">IF(AND(L196&gt;0, L196&lt;0.0207),L196/Q$1,0)</f>
        <v>#REF!</v>
      </c>
      <c r="N196" s="2" t="e">
        <f>IF(#REF!=#REF!,"","Start")</f>
        <v>#REF!</v>
      </c>
    </row>
    <row r="197" spans="1:15" x14ac:dyDescent="0.55000000000000004">
      <c r="A197" s="11">
        <v>45048.412777777776</v>
      </c>
      <c r="B197" s="12" t="s">
        <v>191</v>
      </c>
      <c r="C197" s="12" t="s">
        <v>0</v>
      </c>
      <c r="D197" s="12" t="s">
        <v>65</v>
      </c>
      <c r="E197" s="12" t="s">
        <v>66</v>
      </c>
      <c r="F197" s="12"/>
      <c r="G197" s="12" t="s">
        <v>1</v>
      </c>
      <c r="H197" s="12" t="s">
        <v>10</v>
      </c>
      <c r="I197" s="12" t="s">
        <v>38</v>
      </c>
      <c r="J197" s="12" t="s">
        <v>2</v>
      </c>
      <c r="L197" s="4" t="e">
        <f>(#REF!-#REF!)</f>
        <v>#REF!</v>
      </c>
      <c r="M197" s="3" t="e">
        <f t="shared" si="5"/>
        <v>#REF!</v>
      </c>
      <c r="N197" s="2" t="e">
        <f>IF(#REF!=#REF!,"","Start")</f>
        <v>#REF!</v>
      </c>
    </row>
    <row r="198" spans="1:15" x14ac:dyDescent="0.55000000000000004">
      <c r="A198" s="11">
        <v>45048.412789351853</v>
      </c>
      <c r="B198" s="12" t="s">
        <v>191</v>
      </c>
      <c r="C198" s="12" t="s">
        <v>0</v>
      </c>
      <c r="D198" s="12" t="s">
        <v>65</v>
      </c>
      <c r="E198" s="12" t="s">
        <v>67</v>
      </c>
      <c r="F198" s="12"/>
      <c r="G198" s="12" t="s">
        <v>1</v>
      </c>
      <c r="H198" s="12" t="s">
        <v>10</v>
      </c>
      <c r="I198" s="12" t="s">
        <v>38</v>
      </c>
      <c r="J198" s="12" t="s">
        <v>2</v>
      </c>
      <c r="L198" s="4" t="e">
        <f>(#REF!-#REF!)</f>
        <v>#REF!</v>
      </c>
      <c r="M198" s="3" t="e">
        <f t="shared" si="5"/>
        <v>#REF!</v>
      </c>
      <c r="N198" s="2" t="e">
        <f>IF(#REF!=#REF!,"","Start")</f>
        <v>#REF!</v>
      </c>
    </row>
    <row r="199" spans="1:15" x14ac:dyDescent="0.55000000000000004">
      <c r="A199" s="11">
        <v>45048.412800925929</v>
      </c>
      <c r="B199" s="12" t="s">
        <v>191</v>
      </c>
      <c r="C199" s="12" t="s">
        <v>0</v>
      </c>
      <c r="D199" s="12" t="s">
        <v>65</v>
      </c>
      <c r="E199" s="12" t="s">
        <v>3</v>
      </c>
      <c r="F199" s="12"/>
      <c r="G199" s="12" t="s">
        <v>1</v>
      </c>
      <c r="H199" s="12" t="s">
        <v>10</v>
      </c>
      <c r="I199" s="12" t="s">
        <v>38</v>
      </c>
      <c r="J199" s="12" t="s">
        <v>2</v>
      </c>
      <c r="L199" s="4" t="e">
        <f>(#REF!-#REF!)</f>
        <v>#REF!</v>
      </c>
      <c r="M199" s="3" t="e">
        <f t="shared" si="5"/>
        <v>#REF!</v>
      </c>
      <c r="N199" s="2" t="e">
        <f>IF(#REF!=#REF!,"","Start")</f>
        <v>#REF!</v>
      </c>
    </row>
    <row r="200" spans="1:15" x14ac:dyDescent="0.55000000000000004">
      <c r="A200" s="11">
        <v>45048.412824074076</v>
      </c>
      <c r="B200" s="12" t="s">
        <v>191</v>
      </c>
      <c r="C200" s="12" t="s">
        <v>0</v>
      </c>
      <c r="D200" s="12" t="s">
        <v>62</v>
      </c>
      <c r="E200" s="12" t="s">
        <v>64</v>
      </c>
      <c r="F200" s="12"/>
      <c r="G200" s="12" t="s">
        <v>1</v>
      </c>
      <c r="H200" s="12" t="s">
        <v>10</v>
      </c>
      <c r="I200" s="12" t="s">
        <v>38</v>
      </c>
      <c r="J200" s="12" t="s">
        <v>2</v>
      </c>
      <c r="L200" s="4" t="e">
        <f>(#REF!-#REF!)</f>
        <v>#REF!</v>
      </c>
      <c r="M200" s="3" t="e">
        <f t="shared" si="5"/>
        <v>#REF!</v>
      </c>
      <c r="N200" s="2" t="e">
        <f>IF(#REF!=#REF!,"","Start")</f>
        <v>#REF!</v>
      </c>
    </row>
    <row r="201" spans="1:15" x14ac:dyDescent="0.55000000000000004">
      <c r="A201" s="11">
        <v>45048.412847222222</v>
      </c>
      <c r="B201" s="12" t="s">
        <v>191</v>
      </c>
      <c r="C201" s="12" t="s">
        <v>0</v>
      </c>
      <c r="D201" s="12" t="s">
        <v>62</v>
      </c>
      <c r="E201" s="12" t="s">
        <v>186</v>
      </c>
      <c r="F201" s="12"/>
      <c r="G201" s="12" t="s">
        <v>1</v>
      </c>
      <c r="H201" s="12" t="s">
        <v>10</v>
      </c>
      <c r="I201" s="12" t="s">
        <v>38</v>
      </c>
      <c r="J201" s="12" t="s">
        <v>2</v>
      </c>
      <c r="L201" s="4" t="e">
        <f>(#REF!-#REF!)</f>
        <v>#REF!</v>
      </c>
      <c r="M201" s="3" t="e">
        <f t="shared" si="5"/>
        <v>#REF!</v>
      </c>
      <c r="N201" s="2" t="e">
        <f>IF(#REF!=#REF!,"","Start")</f>
        <v>#REF!</v>
      </c>
    </row>
    <row r="202" spans="1:15" x14ac:dyDescent="0.55000000000000004">
      <c r="A202" s="11">
        <v>45048.412881944445</v>
      </c>
      <c r="B202" s="12" t="s">
        <v>191</v>
      </c>
      <c r="C202" s="12" t="s">
        <v>0</v>
      </c>
      <c r="D202" s="12" t="s">
        <v>62</v>
      </c>
      <c r="E202" s="12" t="s">
        <v>3</v>
      </c>
      <c r="F202" s="12"/>
      <c r="G202" s="12" t="s">
        <v>1</v>
      </c>
      <c r="H202" s="12" t="s">
        <v>10</v>
      </c>
      <c r="I202" s="12" t="s">
        <v>38</v>
      </c>
      <c r="J202" s="12" t="s">
        <v>2</v>
      </c>
      <c r="L202" s="4" t="e">
        <f>(#REF!-#REF!)</f>
        <v>#REF!</v>
      </c>
      <c r="M202" s="3" t="e">
        <f t="shared" si="5"/>
        <v>#REF!</v>
      </c>
      <c r="N202" s="2" t="e">
        <f>IF(#REF!=#REF!,"","Start")</f>
        <v>#REF!</v>
      </c>
    </row>
    <row r="203" spans="1:15" x14ac:dyDescent="0.55000000000000004">
      <c r="A203" s="11">
        <v>45048.412916666668</v>
      </c>
      <c r="B203" s="12" t="s">
        <v>191</v>
      </c>
      <c r="C203" s="12" t="s">
        <v>0</v>
      </c>
      <c r="D203" s="12" t="s">
        <v>59</v>
      </c>
      <c r="E203" s="12" t="s">
        <v>61</v>
      </c>
      <c r="F203" s="12"/>
      <c r="G203" s="12" t="s">
        <v>1</v>
      </c>
      <c r="H203" s="12" t="s">
        <v>10</v>
      </c>
      <c r="I203" s="12" t="s">
        <v>38</v>
      </c>
      <c r="J203" s="12" t="s">
        <v>2</v>
      </c>
      <c r="L203" s="4" t="e">
        <f>(#REF!-#REF!)</f>
        <v>#REF!</v>
      </c>
      <c r="M203" s="3" t="e">
        <f t="shared" si="5"/>
        <v>#REF!</v>
      </c>
      <c r="N203" s="2" t="e">
        <f>IF(#REF!=#REF!,"","Start")</f>
        <v>#REF!</v>
      </c>
    </row>
    <row r="204" spans="1:15" x14ac:dyDescent="0.55000000000000004">
      <c r="A204" s="11">
        <v>45048.412928240738</v>
      </c>
      <c r="B204" s="12" t="s">
        <v>191</v>
      </c>
      <c r="C204" s="12" t="s">
        <v>0</v>
      </c>
      <c r="D204" s="12" t="s">
        <v>59</v>
      </c>
      <c r="E204" s="12" t="s">
        <v>60</v>
      </c>
      <c r="F204" s="12"/>
      <c r="G204" s="12" t="s">
        <v>1</v>
      </c>
      <c r="H204" s="12" t="s">
        <v>10</v>
      </c>
      <c r="I204" s="12" t="s">
        <v>38</v>
      </c>
      <c r="J204" s="12" t="s">
        <v>2</v>
      </c>
      <c r="L204" s="4" t="e">
        <f>(#REF!-#REF!)</f>
        <v>#REF!</v>
      </c>
      <c r="M204" s="3" t="e">
        <f t="shared" si="5"/>
        <v>#REF!</v>
      </c>
      <c r="N204" s="2" t="e">
        <f>IF(#REF!=#REF!,"","Start")</f>
        <v>#REF!</v>
      </c>
      <c r="O204" s="10"/>
    </row>
    <row r="205" spans="1:15" x14ac:dyDescent="0.55000000000000004">
      <c r="A205" s="11">
        <v>45048.412974537037</v>
      </c>
      <c r="B205" s="12" t="s">
        <v>191</v>
      </c>
      <c r="C205" s="12" t="s">
        <v>0</v>
      </c>
      <c r="D205" s="12" t="s">
        <v>59</v>
      </c>
      <c r="E205" s="12" t="s">
        <v>3</v>
      </c>
      <c r="F205" s="12"/>
      <c r="G205" s="12" t="s">
        <v>1</v>
      </c>
      <c r="H205" s="12" t="s">
        <v>10</v>
      </c>
      <c r="I205" s="12" t="s">
        <v>38</v>
      </c>
      <c r="J205" s="12" t="s">
        <v>2</v>
      </c>
      <c r="L205" s="4" t="e">
        <f>(#REF!-#REF!)</f>
        <v>#REF!</v>
      </c>
      <c r="M205" s="3" t="e">
        <f t="shared" si="5"/>
        <v>#REF!</v>
      </c>
      <c r="N205" s="2" t="e">
        <f>IF(#REF!=#REF!,"","Start")</f>
        <v>#REF!</v>
      </c>
    </row>
    <row r="206" spans="1:15" x14ac:dyDescent="0.55000000000000004">
      <c r="A206" s="11">
        <v>45048.413391203707</v>
      </c>
      <c r="B206" s="12" t="s">
        <v>191</v>
      </c>
      <c r="C206" s="12" t="s">
        <v>0</v>
      </c>
      <c r="D206" s="12" t="s">
        <v>56</v>
      </c>
      <c r="E206" s="12" t="s">
        <v>57</v>
      </c>
      <c r="F206" s="12"/>
      <c r="G206" s="12" t="s">
        <v>1</v>
      </c>
      <c r="H206" s="12" t="s">
        <v>10</v>
      </c>
      <c r="I206" s="12" t="s">
        <v>38</v>
      </c>
      <c r="J206" s="12" t="s">
        <v>2</v>
      </c>
      <c r="L206" s="4" t="e">
        <f>(#REF!-#REF!)</f>
        <v>#REF!</v>
      </c>
      <c r="M206" s="3" t="e">
        <f t="shared" si="5"/>
        <v>#REF!</v>
      </c>
      <c r="N206" s="2" t="e">
        <f>IF(#REF!=#REF!,"","Start")</f>
        <v>#REF!</v>
      </c>
    </row>
    <row r="207" spans="1:15" x14ac:dyDescent="0.55000000000000004">
      <c r="A207" s="11">
        <v>45048.413402777776</v>
      </c>
      <c r="B207" s="12" t="s">
        <v>191</v>
      </c>
      <c r="C207" s="12" t="s">
        <v>0</v>
      </c>
      <c r="D207" s="12" t="s">
        <v>56</v>
      </c>
      <c r="E207" s="12" t="s">
        <v>129</v>
      </c>
      <c r="F207" s="12"/>
      <c r="G207" s="12" t="s">
        <v>1</v>
      </c>
      <c r="H207" s="12" t="s">
        <v>10</v>
      </c>
      <c r="I207" s="12" t="s">
        <v>38</v>
      </c>
      <c r="J207" s="12" t="s">
        <v>2</v>
      </c>
      <c r="L207" s="4" t="e">
        <f>(#REF!-#REF!)</f>
        <v>#REF!</v>
      </c>
      <c r="M207" s="3" t="e">
        <f t="shared" si="5"/>
        <v>#REF!</v>
      </c>
      <c r="N207" s="2" t="e">
        <f>IF(#REF!=#REF!,"","Start")</f>
        <v>#REF!</v>
      </c>
    </row>
    <row r="208" spans="1:15" x14ac:dyDescent="0.55000000000000004">
      <c r="A208" s="11">
        <v>45048.413483796299</v>
      </c>
      <c r="B208" s="12" t="s">
        <v>191</v>
      </c>
      <c r="C208" s="12" t="s">
        <v>0</v>
      </c>
      <c r="D208" s="12" t="s">
        <v>56</v>
      </c>
      <c r="E208" s="12" t="s">
        <v>3</v>
      </c>
      <c r="F208" s="12"/>
      <c r="G208" s="12" t="s">
        <v>1</v>
      </c>
      <c r="H208" s="12" t="s">
        <v>10</v>
      </c>
      <c r="I208" s="12" t="s">
        <v>38</v>
      </c>
      <c r="J208" s="12" t="s">
        <v>2</v>
      </c>
      <c r="L208" s="4" t="e">
        <f>(#REF!-#REF!)</f>
        <v>#REF!</v>
      </c>
      <c r="M208" s="3" t="e">
        <f t="shared" si="5"/>
        <v>#REF!</v>
      </c>
      <c r="N208" s="2" t="e">
        <f>IF(#REF!=#REF!,"","Start")</f>
        <v>#REF!</v>
      </c>
    </row>
    <row r="209" spans="1:14" x14ac:dyDescent="0.55000000000000004">
      <c r="A209" s="11">
        <v>45048.413657407407</v>
      </c>
      <c r="B209" s="12" t="s">
        <v>191</v>
      </c>
      <c r="C209" s="12" t="s">
        <v>0</v>
      </c>
      <c r="D209" s="12" t="s">
        <v>52</v>
      </c>
      <c r="E209" s="12" t="s">
        <v>193</v>
      </c>
      <c r="F209" s="12" t="s">
        <v>43</v>
      </c>
      <c r="G209" s="12" t="s">
        <v>1</v>
      </c>
      <c r="H209" s="12" t="s">
        <v>10</v>
      </c>
      <c r="I209" s="12" t="s">
        <v>38</v>
      </c>
      <c r="J209" s="12" t="s">
        <v>2</v>
      </c>
      <c r="L209" s="4" t="e">
        <f>(#REF!-#REF!)</f>
        <v>#REF!</v>
      </c>
      <c r="M209" s="3" t="e">
        <f t="shared" si="5"/>
        <v>#REF!</v>
      </c>
      <c r="N209" s="2" t="e">
        <f>IF(#REF!=#REF!,"","Start")</f>
        <v>#REF!</v>
      </c>
    </row>
    <row r="210" spans="1:14" x14ac:dyDescent="0.55000000000000004">
      <c r="A210" s="11">
        <v>45048.413680555554</v>
      </c>
      <c r="B210" s="12" t="s">
        <v>191</v>
      </c>
      <c r="C210" s="12" t="s">
        <v>0</v>
      </c>
      <c r="D210" s="12" t="s">
        <v>52</v>
      </c>
      <c r="E210" s="12" t="s">
        <v>54</v>
      </c>
      <c r="F210" s="12" t="s">
        <v>43</v>
      </c>
      <c r="G210" s="12" t="s">
        <v>1</v>
      </c>
      <c r="H210" s="12" t="s">
        <v>10</v>
      </c>
      <c r="I210" s="12" t="s">
        <v>38</v>
      </c>
      <c r="J210" s="12" t="s">
        <v>2</v>
      </c>
      <c r="L210" s="4" t="e">
        <f>(#REF!-#REF!)</f>
        <v>#REF!</v>
      </c>
      <c r="M210" s="3" t="e">
        <f t="shared" si="5"/>
        <v>#REF!</v>
      </c>
      <c r="N210" s="2" t="e">
        <f>IF(#REF!=#REF!,"","Start")</f>
        <v>#REF!</v>
      </c>
    </row>
    <row r="211" spans="1:14" x14ac:dyDescent="0.55000000000000004">
      <c r="A211" s="11">
        <v>45048.41369212963</v>
      </c>
      <c r="B211" s="12" t="s">
        <v>191</v>
      </c>
      <c r="C211" s="12" t="s">
        <v>0</v>
      </c>
      <c r="D211" s="12" t="s">
        <v>52</v>
      </c>
      <c r="E211" s="12" t="s">
        <v>53</v>
      </c>
      <c r="F211" s="12" t="s">
        <v>43</v>
      </c>
      <c r="G211" s="12" t="s">
        <v>1</v>
      </c>
      <c r="H211" s="12" t="s">
        <v>10</v>
      </c>
      <c r="I211" s="12" t="s">
        <v>38</v>
      </c>
      <c r="J211" s="12" t="s">
        <v>2</v>
      </c>
      <c r="L211" s="4" t="e">
        <f>(#REF!-#REF!)</f>
        <v>#REF!</v>
      </c>
      <c r="M211" s="3" t="e">
        <f t="shared" si="5"/>
        <v>#REF!</v>
      </c>
      <c r="N211" s="2" t="e">
        <f>IF(#REF!=#REF!,"","Start")</f>
        <v>#REF!</v>
      </c>
    </row>
    <row r="212" spans="1:14" x14ac:dyDescent="0.55000000000000004">
      <c r="A212" s="11">
        <v>45048.413715277777</v>
      </c>
      <c r="B212" s="12" t="s">
        <v>191</v>
      </c>
      <c r="C212" s="12" t="s">
        <v>0</v>
      </c>
      <c r="D212" s="12" t="s">
        <v>52</v>
      </c>
      <c r="E212" s="12" t="s">
        <v>3</v>
      </c>
      <c r="F212" s="12"/>
      <c r="G212" s="12" t="s">
        <v>1</v>
      </c>
      <c r="H212" s="12" t="s">
        <v>10</v>
      </c>
      <c r="I212" s="12" t="s">
        <v>38</v>
      </c>
      <c r="J212" s="12" t="s">
        <v>2</v>
      </c>
      <c r="L212" s="4" t="e">
        <f>(#REF!-#REF!)</f>
        <v>#REF!</v>
      </c>
      <c r="M212" s="3" t="e">
        <f t="shared" si="5"/>
        <v>#REF!</v>
      </c>
      <c r="N212" s="2" t="e">
        <f>IF(#REF!=#REF!,"","Start")</f>
        <v>#REF!</v>
      </c>
    </row>
    <row r="213" spans="1:14" x14ac:dyDescent="0.55000000000000004">
      <c r="A213" s="11">
        <v>45048.413738425923</v>
      </c>
      <c r="B213" s="12" t="s">
        <v>191</v>
      </c>
      <c r="C213" s="12" t="s">
        <v>0</v>
      </c>
      <c r="D213" s="12" t="s">
        <v>49</v>
      </c>
      <c r="E213" s="12" t="s">
        <v>113</v>
      </c>
      <c r="F213" s="12" t="s">
        <v>43</v>
      </c>
      <c r="G213" s="12" t="s">
        <v>1</v>
      </c>
      <c r="H213" s="12" t="s">
        <v>10</v>
      </c>
      <c r="I213" s="12" t="s">
        <v>38</v>
      </c>
      <c r="J213" s="12" t="s">
        <v>2</v>
      </c>
      <c r="L213" s="4" t="e">
        <f>(#REF!-#REF!)</f>
        <v>#REF!</v>
      </c>
      <c r="M213" s="3" t="e">
        <f t="shared" si="5"/>
        <v>#REF!</v>
      </c>
      <c r="N213" s="2" t="e">
        <f>IF(#REF!=#REF!,"","Start")</f>
        <v>#REF!</v>
      </c>
    </row>
    <row r="214" spans="1:14" x14ac:dyDescent="0.55000000000000004">
      <c r="A214" s="11">
        <v>45048.413761574076</v>
      </c>
      <c r="B214" s="12" t="s">
        <v>191</v>
      </c>
      <c r="C214" s="12" t="s">
        <v>0</v>
      </c>
      <c r="D214" s="12" t="s">
        <v>49</v>
      </c>
      <c r="E214" s="12" t="s">
        <v>112</v>
      </c>
      <c r="F214" s="12" t="s">
        <v>43</v>
      </c>
      <c r="G214" s="12" t="s">
        <v>1</v>
      </c>
      <c r="H214" s="12" t="s">
        <v>10</v>
      </c>
      <c r="I214" s="12" t="s">
        <v>38</v>
      </c>
      <c r="J214" s="12" t="s">
        <v>2</v>
      </c>
      <c r="L214" s="4" t="e">
        <f>(#REF!-#REF!)</f>
        <v>#REF!</v>
      </c>
      <c r="M214" s="3" t="e">
        <f t="shared" si="5"/>
        <v>#REF!</v>
      </c>
      <c r="N214" s="2" t="e">
        <f>IF(#REF!=#REF!,"","Start")</f>
        <v>#REF!</v>
      </c>
    </row>
    <row r="215" spans="1:14" x14ac:dyDescent="0.55000000000000004">
      <c r="A215" s="11">
        <v>45048.413773148146</v>
      </c>
      <c r="B215" s="12" t="s">
        <v>191</v>
      </c>
      <c r="C215" s="12" t="s">
        <v>0</v>
      </c>
      <c r="D215" s="12" t="s">
        <v>49</v>
      </c>
      <c r="E215" s="12" t="s">
        <v>3</v>
      </c>
      <c r="F215" s="12"/>
      <c r="G215" s="12" t="s">
        <v>1</v>
      </c>
      <c r="H215" s="12" t="s">
        <v>10</v>
      </c>
      <c r="I215" s="12" t="s">
        <v>38</v>
      </c>
      <c r="J215" s="12" t="s">
        <v>2</v>
      </c>
      <c r="L215" s="4" t="e">
        <f>(#REF!-#REF!)</f>
        <v>#REF!</v>
      </c>
      <c r="M215" s="3" t="e">
        <f t="shared" si="5"/>
        <v>#REF!</v>
      </c>
      <c r="N215" s="2" t="e">
        <f>IF(#REF!=#REF!,"","Start")</f>
        <v>#REF!</v>
      </c>
    </row>
    <row r="216" spans="1:14" x14ac:dyDescent="0.55000000000000004">
      <c r="A216" s="11">
        <v>45048.413807870369</v>
      </c>
      <c r="B216" s="12" t="s">
        <v>191</v>
      </c>
      <c r="C216" s="12" t="s">
        <v>0</v>
      </c>
      <c r="D216" s="12" t="s">
        <v>46</v>
      </c>
      <c r="E216" s="12" t="s">
        <v>128</v>
      </c>
      <c r="F216" s="12" t="s">
        <v>43</v>
      </c>
      <c r="G216" s="12" t="s">
        <v>1</v>
      </c>
      <c r="H216" s="12" t="s">
        <v>10</v>
      </c>
      <c r="I216" s="12" t="s">
        <v>38</v>
      </c>
      <c r="J216" s="12" t="s">
        <v>2</v>
      </c>
      <c r="L216" s="4" t="e">
        <f>(#REF!-#REF!)</f>
        <v>#REF!</v>
      </c>
      <c r="M216" s="3" t="e">
        <f t="shared" si="5"/>
        <v>#REF!</v>
      </c>
      <c r="N216" s="2" t="e">
        <f>IF(#REF!=#REF!,"","Start")</f>
        <v>#REF!</v>
      </c>
    </row>
    <row r="217" spans="1:14" x14ac:dyDescent="0.55000000000000004">
      <c r="A217" s="11">
        <v>45048.413819444446</v>
      </c>
      <c r="B217" s="12" t="s">
        <v>191</v>
      </c>
      <c r="C217" s="12" t="s">
        <v>0</v>
      </c>
      <c r="D217" s="12" t="s">
        <v>46</v>
      </c>
      <c r="E217" s="12" t="s">
        <v>128</v>
      </c>
      <c r="F217" s="12" t="s">
        <v>43</v>
      </c>
      <c r="G217" s="12" t="s">
        <v>1</v>
      </c>
      <c r="H217" s="12" t="s">
        <v>10</v>
      </c>
      <c r="I217" s="12" t="s">
        <v>38</v>
      </c>
      <c r="J217" s="12" t="s">
        <v>2</v>
      </c>
      <c r="L217" s="4" t="e">
        <f>(#REF!-#REF!)</f>
        <v>#REF!</v>
      </c>
      <c r="M217" s="3" t="e">
        <f t="shared" si="5"/>
        <v>#REF!</v>
      </c>
      <c r="N217" s="2" t="e">
        <f>IF(#REF!=#REF!,"","Start")</f>
        <v>#REF!</v>
      </c>
    </row>
    <row r="218" spans="1:14" x14ac:dyDescent="0.55000000000000004">
      <c r="A218" s="11">
        <v>45048.413831018515</v>
      </c>
      <c r="B218" s="12" t="s">
        <v>191</v>
      </c>
      <c r="C218" s="12" t="s">
        <v>0</v>
      </c>
      <c r="D218" s="12" t="s">
        <v>46</v>
      </c>
      <c r="E218" s="12" t="s">
        <v>47</v>
      </c>
      <c r="F218" s="12" t="s">
        <v>43</v>
      </c>
      <c r="G218" s="12" t="s">
        <v>1</v>
      </c>
      <c r="H218" s="12" t="s">
        <v>10</v>
      </c>
      <c r="I218" s="12" t="s">
        <v>38</v>
      </c>
      <c r="J218" s="12" t="s">
        <v>2</v>
      </c>
      <c r="L218" s="4" t="e">
        <f>(#REF!-#REF!)</f>
        <v>#REF!</v>
      </c>
      <c r="M218" s="3" t="e">
        <f t="shared" si="5"/>
        <v>#REF!</v>
      </c>
      <c r="N218" s="2" t="e">
        <f>IF(#REF!=#REF!,"","Start")</f>
        <v>#REF!</v>
      </c>
    </row>
    <row r="219" spans="1:14" x14ac:dyDescent="0.55000000000000004">
      <c r="A219" s="11">
        <v>45048.413854166669</v>
      </c>
      <c r="B219" s="12" t="s">
        <v>191</v>
      </c>
      <c r="C219" s="12" t="s">
        <v>0</v>
      </c>
      <c r="D219" s="12" t="s">
        <v>46</v>
      </c>
      <c r="E219" s="12" t="s">
        <v>3</v>
      </c>
      <c r="F219" s="12"/>
      <c r="G219" s="12" t="s">
        <v>1</v>
      </c>
      <c r="H219" s="12" t="s">
        <v>10</v>
      </c>
      <c r="I219" s="12" t="s">
        <v>38</v>
      </c>
      <c r="J219" s="12" t="s">
        <v>2</v>
      </c>
      <c r="L219" s="4" t="e">
        <f>(#REF!-#REF!)</f>
        <v>#REF!</v>
      </c>
      <c r="M219" s="3" t="e">
        <f t="shared" si="5"/>
        <v>#REF!</v>
      </c>
      <c r="N219" s="2" t="e">
        <f>IF(#REF!=#REF!,"","Start")</f>
        <v>#REF!</v>
      </c>
    </row>
    <row r="220" spans="1:14" x14ac:dyDescent="0.55000000000000004">
      <c r="A220" s="11">
        <v>45048.413877314815</v>
      </c>
      <c r="B220" s="12" t="s">
        <v>191</v>
      </c>
      <c r="C220" s="12" t="s">
        <v>0</v>
      </c>
      <c r="D220" s="12" t="s">
        <v>44</v>
      </c>
      <c r="E220" s="12" t="s">
        <v>192</v>
      </c>
      <c r="F220" s="12" t="s">
        <v>43</v>
      </c>
      <c r="G220" s="12" t="s">
        <v>1</v>
      </c>
      <c r="H220" s="12" t="s">
        <v>10</v>
      </c>
      <c r="I220" s="12" t="s">
        <v>38</v>
      </c>
      <c r="J220" s="12" t="s">
        <v>2</v>
      </c>
      <c r="L220" s="4" t="e">
        <f>(#REF!-#REF!)</f>
        <v>#REF!</v>
      </c>
      <c r="M220" s="3" t="e">
        <f t="shared" si="5"/>
        <v>#REF!</v>
      </c>
      <c r="N220" s="2" t="e">
        <f>IF(#REF!=#REF!,"","Start")</f>
        <v>#REF!</v>
      </c>
    </row>
    <row r="221" spans="1:14" x14ac:dyDescent="0.55000000000000004">
      <c r="A221" s="11">
        <v>45048.413900462961</v>
      </c>
      <c r="B221" s="12" t="s">
        <v>191</v>
      </c>
      <c r="C221" s="12" t="s">
        <v>0</v>
      </c>
      <c r="D221" s="12" t="s">
        <v>44</v>
      </c>
      <c r="E221" s="12" t="s">
        <v>3</v>
      </c>
      <c r="F221" s="12"/>
      <c r="G221" s="12" t="s">
        <v>1</v>
      </c>
      <c r="H221" s="12" t="s">
        <v>10</v>
      </c>
      <c r="I221" s="12" t="s">
        <v>38</v>
      </c>
      <c r="J221" s="12" t="s">
        <v>2</v>
      </c>
      <c r="L221" s="4" t="e">
        <f>(#REF!-#REF!)</f>
        <v>#REF!</v>
      </c>
      <c r="M221" s="3" t="e">
        <f t="shared" si="5"/>
        <v>#REF!</v>
      </c>
      <c r="N221" s="2" t="e">
        <f>IF(#REF!=#REF!,"","Start")</f>
        <v>#REF!</v>
      </c>
    </row>
    <row r="222" spans="1:14" x14ac:dyDescent="0.55000000000000004">
      <c r="A222" s="11">
        <v>45048.413923611108</v>
      </c>
      <c r="B222" s="12" t="s">
        <v>191</v>
      </c>
      <c r="C222" s="12" t="s">
        <v>0</v>
      </c>
      <c r="D222" s="12" t="s">
        <v>41</v>
      </c>
      <c r="E222" s="12" t="s">
        <v>110</v>
      </c>
      <c r="F222" s="12" t="s">
        <v>43</v>
      </c>
      <c r="G222" s="12" t="s">
        <v>1</v>
      </c>
      <c r="H222" s="12" t="s">
        <v>10</v>
      </c>
      <c r="I222" s="12" t="s">
        <v>38</v>
      </c>
      <c r="J222" s="12" t="s">
        <v>2</v>
      </c>
      <c r="L222" s="4" t="e">
        <f>(#REF!-#REF!)</f>
        <v>#REF!</v>
      </c>
      <c r="M222" s="3" t="e">
        <f t="shared" si="5"/>
        <v>#REF!</v>
      </c>
      <c r="N222" s="2" t="e">
        <f>IF(#REF!=#REF!,"","Start")</f>
        <v>#REF!</v>
      </c>
    </row>
    <row r="223" spans="1:14" x14ac:dyDescent="0.55000000000000004">
      <c r="A223" s="11">
        <v>45048.413935185185</v>
      </c>
      <c r="B223" s="12" t="s">
        <v>191</v>
      </c>
      <c r="C223" s="12" t="s">
        <v>0</v>
      </c>
      <c r="D223" s="12" t="s">
        <v>41</v>
      </c>
      <c r="E223" s="12" t="s">
        <v>3</v>
      </c>
      <c r="F223" s="12"/>
      <c r="G223" s="12" t="s">
        <v>1</v>
      </c>
      <c r="H223" s="12" t="s">
        <v>10</v>
      </c>
      <c r="I223" s="12" t="s">
        <v>38</v>
      </c>
      <c r="J223" s="12" t="s">
        <v>2</v>
      </c>
      <c r="L223" s="4" t="e">
        <f>(#REF!-#REF!)</f>
        <v>#REF!</v>
      </c>
      <c r="M223" s="3" t="e">
        <f t="shared" si="5"/>
        <v>#REF!</v>
      </c>
      <c r="N223" s="2" t="e">
        <f>IF(#REF!=#REF!,"","Start")</f>
        <v>#REF!</v>
      </c>
    </row>
    <row r="224" spans="1:14" x14ac:dyDescent="0.55000000000000004">
      <c r="A224" s="11">
        <v>45048.413969907408</v>
      </c>
      <c r="B224" s="12" t="s">
        <v>191</v>
      </c>
      <c r="C224" s="12" t="s">
        <v>0</v>
      </c>
      <c r="D224" s="12" t="s">
        <v>36</v>
      </c>
      <c r="E224" s="12" t="s">
        <v>37</v>
      </c>
      <c r="F224" s="12"/>
      <c r="G224" s="12" t="s">
        <v>1</v>
      </c>
      <c r="H224" s="12" t="s">
        <v>10</v>
      </c>
      <c r="I224" s="12" t="s">
        <v>38</v>
      </c>
      <c r="J224" s="12" t="s">
        <v>2</v>
      </c>
      <c r="L224" s="4" t="e">
        <f>(#REF!-#REF!)</f>
        <v>#REF!</v>
      </c>
      <c r="M224" s="3" t="e">
        <f t="shared" si="5"/>
        <v>#REF!</v>
      </c>
      <c r="N224" s="2" t="e">
        <f>IF(#REF!=#REF!,"","Start")</f>
        <v>#REF!</v>
      </c>
    </row>
    <row r="225" spans="1:14" x14ac:dyDescent="0.55000000000000004">
      <c r="A225" s="11">
        <v>45048.414085648146</v>
      </c>
      <c r="B225" s="12" t="s">
        <v>191</v>
      </c>
      <c r="C225" s="12" t="s">
        <v>0</v>
      </c>
      <c r="D225" s="12" t="s">
        <v>125</v>
      </c>
      <c r="E225" s="12" t="s">
        <v>94</v>
      </c>
      <c r="F225" s="12"/>
      <c r="G225" s="12" t="s">
        <v>1</v>
      </c>
      <c r="H225" s="12" t="s">
        <v>10</v>
      </c>
      <c r="I225" s="12" t="s">
        <v>38</v>
      </c>
      <c r="J225" s="12" t="s">
        <v>2</v>
      </c>
      <c r="L225" s="4" t="e">
        <f>(#REF!-#REF!)</f>
        <v>#REF!</v>
      </c>
      <c r="M225" s="3" t="e">
        <f t="shared" si="5"/>
        <v>#REF!</v>
      </c>
      <c r="N225" s="2" t="e">
        <f>IF(#REF!=#REF!,"","Start")</f>
        <v>#REF!</v>
      </c>
    </row>
    <row r="226" spans="1:14" x14ac:dyDescent="0.55000000000000004">
      <c r="A226" s="11">
        <v>45055.409525462965</v>
      </c>
      <c r="B226" s="12" t="s">
        <v>190</v>
      </c>
      <c r="C226" s="12" t="s">
        <v>0</v>
      </c>
      <c r="D226" s="12" t="s">
        <v>34</v>
      </c>
      <c r="E226" s="12" t="s">
        <v>5</v>
      </c>
      <c r="F226" s="12"/>
      <c r="G226" s="12" t="s">
        <v>1</v>
      </c>
      <c r="H226" s="12" t="s">
        <v>10</v>
      </c>
      <c r="I226" s="12" t="s">
        <v>38</v>
      </c>
      <c r="J226" s="12" t="s">
        <v>2</v>
      </c>
      <c r="L226" s="4" t="e">
        <f>(#REF!-#REF!)</f>
        <v>#REF!</v>
      </c>
      <c r="M226" s="3" t="e">
        <f t="shared" si="5"/>
        <v>#REF!</v>
      </c>
      <c r="N226" s="2" t="e">
        <f>IF(#REF!=#REF!,"","Start")</f>
        <v>#REF!</v>
      </c>
    </row>
    <row r="227" spans="1:14" x14ac:dyDescent="0.55000000000000004">
      <c r="A227" s="11">
        <v>45055.409594907411</v>
      </c>
      <c r="B227" s="12" t="s">
        <v>189</v>
      </c>
      <c r="C227" s="12" t="s">
        <v>0</v>
      </c>
      <c r="D227" s="12" t="s">
        <v>33</v>
      </c>
      <c r="E227" s="12" t="s">
        <v>4</v>
      </c>
      <c r="F227" s="12"/>
      <c r="G227" s="12" t="s">
        <v>1</v>
      </c>
      <c r="H227" s="12" t="s">
        <v>10</v>
      </c>
      <c r="I227" s="12" t="s">
        <v>38</v>
      </c>
      <c r="J227" s="12" t="s">
        <v>2</v>
      </c>
      <c r="L227" s="4" t="e">
        <f>(#REF!-#REF!)</f>
        <v>#REF!</v>
      </c>
      <c r="M227" s="3" t="e">
        <f t="shared" si="5"/>
        <v>#REF!</v>
      </c>
      <c r="N227" s="2" t="e">
        <f>IF(#REF!=#REF!,"","Start")</f>
        <v>#REF!</v>
      </c>
    </row>
    <row r="228" spans="1:14" x14ac:dyDescent="0.55000000000000004">
      <c r="A228" s="11">
        <v>45055.409629629627</v>
      </c>
      <c r="B228" s="12" t="s">
        <v>168</v>
      </c>
      <c r="C228" s="12" t="s">
        <v>0</v>
      </c>
      <c r="D228" s="12" t="s">
        <v>32</v>
      </c>
      <c r="E228" s="12" t="s">
        <v>3</v>
      </c>
      <c r="F228" s="12"/>
      <c r="G228" s="12" t="s">
        <v>1</v>
      </c>
      <c r="H228" s="12" t="s">
        <v>10</v>
      </c>
      <c r="I228" s="12" t="s">
        <v>38</v>
      </c>
      <c r="J228" s="12" t="s">
        <v>2</v>
      </c>
      <c r="L228" s="4" t="e">
        <f>(#REF!-#REF!)</f>
        <v>#REF!</v>
      </c>
      <c r="M228" s="3" t="e">
        <f t="shared" si="5"/>
        <v>#REF!</v>
      </c>
      <c r="N228" s="2" t="e">
        <f>IF(#REF!=#REF!,"","Start")</f>
        <v>#REF!</v>
      </c>
    </row>
    <row r="229" spans="1:14" x14ac:dyDescent="0.55000000000000004">
      <c r="A229" s="11">
        <v>45055.409641203703</v>
      </c>
      <c r="B229" s="12" t="s">
        <v>168</v>
      </c>
      <c r="C229" s="12" t="s">
        <v>0</v>
      </c>
      <c r="D229" s="12" t="s">
        <v>32</v>
      </c>
      <c r="E229" s="12" t="s">
        <v>7</v>
      </c>
      <c r="F229" s="12"/>
      <c r="G229" s="12" t="s">
        <v>1</v>
      </c>
      <c r="H229" s="12" t="s">
        <v>10</v>
      </c>
      <c r="I229" s="12" t="s">
        <v>38</v>
      </c>
      <c r="J229" s="12" t="s">
        <v>2</v>
      </c>
      <c r="L229" s="4" t="e">
        <f>(#REF!-#REF!)</f>
        <v>#REF!</v>
      </c>
      <c r="M229" s="3" t="e">
        <f t="shared" si="5"/>
        <v>#REF!</v>
      </c>
      <c r="N229" s="2" t="e">
        <f>IF(#REF!=#REF!,"","Start")</f>
        <v>#REF!</v>
      </c>
    </row>
    <row r="230" spans="1:14" x14ac:dyDescent="0.55000000000000004">
      <c r="A230" s="11">
        <v>45055.40965277778</v>
      </c>
      <c r="B230" s="12" t="s">
        <v>168</v>
      </c>
      <c r="C230" s="12" t="s">
        <v>0</v>
      </c>
      <c r="D230" s="12" t="s">
        <v>32</v>
      </c>
      <c r="E230" s="12" t="s">
        <v>3</v>
      </c>
      <c r="F230" s="12"/>
      <c r="G230" s="12" t="s">
        <v>1</v>
      </c>
      <c r="H230" s="12" t="s">
        <v>10</v>
      </c>
      <c r="I230" s="12" t="s">
        <v>38</v>
      </c>
      <c r="J230" s="12" t="s">
        <v>2</v>
      </c>
      <c r="L230" s="4" t="e">
        <f>(#REF!-#REF!)</f>
        <v>#REF!</v>
      </c>
      <c r="M230" s="3" t="e">
        <f t="shared" si="5"/>
        <v>#REF!</v>
      </c>
      <c r="N230" s="2" t="e">
        <f>IF(#REF!=#REF!,"","Start")</f>
        <v>#REF!</v>
      </c>
    </row>
    <row r="231" spans="1:14" x14ac:dyDescent="0.55000000000000004">
      <c r="A231" s="11">
        <v>45055.409675925926</v>
      </c>
      <c r="B231" s="12" t="s">
        <v>168</v>
      </c>
      <c r="C231" s="12" t="s">
        <v>0</v>
      </c>
      <c r="D231" s="12" t="s">
        <v>31</v>
      </c>
      <c r="E231" s="12" t="s">
        <v>6</v>
      </c>
      <c r="F231" s="12"/>
      <c r="G231" s="12" t="s">
        <v>1</v>
      </c>
      <c r="H231" s="12" t="s">
        <v>10</v>
      </c>
      <c r="I231" s="12" t="s">
        <v>38</v>
      </c>
      <c r="J231" s="12" t="s">
        <v>2</v>
      </c>
      <c r="L231" s="4" t="e">
        <f>(#REF!-#REF!)</f>
        <v>#REF!</v>
      </c>
      <c r="M231" s="3" t="e">
        <f t="shared" si="5"/>
        <v>#REF!</v>
      </c>
      <c r="N231" s="2" t="e">
        <f>IF(#REF!=#REF!,"","Start")</f>
        <v>#REF!</v>
      </c>
    </row>
    <row r="232" spans="1:14" x14ac:dyDescent="0.55000000000000004">
      <c r="A232" s="11">
        <v>45055.409687500003</v>
      </c>
      <c r="B232" s="12" t="s">
        <v>168</v>
      </c>
      <c r="C232" s="12" t="s">
        <v>0</v>
      </c>
      <c r="D232" s="12" t="s">
        <v>31</v>
      </c>
      <c r="E232" s="12" t="s">
        <v>3</v>
      </c>
      <c r="F232" s="12"/>
      <c r="G232" s="12" t="s">
        <v>1</v>
      </c>
      <c r="H232" s="12" t="s">
        <v>10</v>
      </c>
      <c r="I232" s="12" t="s">
        <v>38</v>
      </c>
      <c r="J232" s="12" t="s">
        <v>2</v>
      </c>
      <c r="L232" s="4" t="e">
        <f>(#REF!-#REF!)</f>
        <v>#REF!</v>
      </c>
      <c r="M232" s="3" t="e">
        <f t="shared" si="5"/>
        <v>#REF!</v>
      </c>
      <c r="N232" s="2" t="e">
        <f>IF(#REF!=#REF!,"","Start")</f>
        <v>#REF!</v>
      </c>
    </row>
    <row r="233" spans="1:14" x14ac:dyDescent="0.55000000000000004">
      <c r="A233" s="11">
        <v>45055.409710648149</v>
      </c>
      <c r="B233" s="12" t="s">
        <v>168</v>
      </c>
      <c r="C233" s="12" t="s">
        <v>0</v>
      </c>
      <c r="D233" s="12" t="s">
        <v>30</v>
      </c>
      <c r="E233" s="12" t="s">
        <v>11</v>
      </c>
      <c r="F233" s="12"/>
      <c r="G233" s="12" t="s">
        <v>1</v>
      </c>
      <c r="H233" s="12" t="s">
        <v>10</v>
      </c>
      <c r="I233" s="12" t="s">
        <v>38</v>
      </c>
      <c r="J233" s="12" t="s">
        <v>2</v>
      </c>
      <c r="L233" s="4" t="e">
        <f>(#REF!-#REF!)</f>
        <v>#REF!</v>
      </c>
      <c r="M233" s="3" t="e">
        <f t="shared" si="5"/>
        <v>#REF!</v>
      </c>
      <c r="N233" s="2" t="e">
        <f>IF(#REF!=#REF!,"","Start")</f>
        <v>#REF!</v>
      </c>
    </row>
    <row r="234" spans="1:14" x14ac:dyDescent="0.55000000000000004">
      <c r="A234" s="11">
        <v>45055.409722222219</v>
      </c>
      <c r="B234" s="12" t="s">
        <v>168</v>
      </c>
      <c r="C234" s="12" t="s">
        <v>0</v>
      </c>
      <c r="D234" s="12" t="s">
        <v>30</v>
      </c>
      <c r="E234" s="12" t="s">
        <v>3</v>
      </c>
      <c r="F234" s="12"/>
      <c r="G234" s="12" t="s">
        <v>1</v>
      </c>
      <c r="H234" s="12" t="s">
        <v>10</v>
      </c>
      <c r="I234" s="12" t="s">
        <v>38</v>
      </c>
      <c r="J234" s="12" t="s">
        <v>2</v>
      </c>
      <c r="L234" s="4" t="e">
        <f>(#REF!-#REF!)</f>
        <v>#REF!</v>
      </c>
      <c r="M234" s="3" t="e">
        <f t="shared" si="5"/>
        <v>#REF!</v>
      </c>
      <c r="N234" s="2" t="e">
        <f>IF(#REF!=#REF!,"","Start")</f>
        <v>#REF!</v>
      </c>
    </row>
    <row r="235" spans="1:14" x14ac:dyDescent="0.55000000000000004">
      <c r="A235" s="11">
        <v>45055.409895833334</v>
      </c>
      <c r="B235" s="12" t="s">
        <v>168</v>
      </c>
      <c r="C235" s="12" t="s">
        <v>0</v>
      </c>
      <c r="D235" s="12" t="s">
        <v>29</v>
      </c>
      <c r="E235" s="12" t="s">
        <v>3</v>
      </c>
      <c r="F235" s="12"/>
      <c r="G235" s="12" t="s">
        <v>1</v>
      </c>
      <c r="H235" s="12" t="s">
        <v>10</v>
      </c>
      <c r="I235" s="12" t="s">
        <v>38</v>
      </c>
      <c r="J235" s="12" t="s">
        <v>2</v>
      </c>
      <c r="L235" s="4" t="e">
        <f>(#REF!-#REF!)</f>
        <v>#REF!</v>
      </c>
      <c r="M235" s="3" t="e">
        <f t="shared" si="5"/>
        <v>#REF!</v>
      </c>
      <c r="N235" s="2" t="e">
        <f>IF(#REF!=#REF!,"","Start")</f>
        <v>#REF!</v>
      </c>
    </row>
    <row r="236" spans="1:14" x14ac:dyDescent="0.55000000000000004">
      <c r="A236" s="11">
        <v>45055.409895833334</v>
      </c>
      <c r="B236" s="12" t="s">
        <v>168</v>
      </c>
      <c r="C236" s="12" t="s">
        <v>12</v>
      </c>
      <c r="D236" s="12" t="s">
        <v>29</v>
      </c>
      <c r="E236" s="12" t="s">
        <v>13</v>
      </c>
      <c r="F236" s="12" t="s">
        <v>123</v>
      </c>
      <c r="G236" s="12" t="s">
        <v>1</v>
      </c>
      <c r="H236" s="12" t="s">
        <v>10</v>
      </c>
      <c r="I236" s="12" t="s">
        <v>38</v>
      </c>
      <c r="J236" s="12" t="s">
        <v>2</v>
      </c>
      <c r="L236" s="4" t="e">
        <f>(#REF!-#REF!)</f>
        <v>#REF!</v>
      </c>
      <c r="M236" s="3" t="e">
        <f t="shared" si="5"/>
        <v>#REF!</v>
      </c>
      <c r="N236" s="2" t="e">
        <f>IF(#REF!=#REF!,"","Start")</f>
        <v>#REF!</v>
      </c>
    </row>
    <row r="237" spans="1:14" x14ac:dyDescent="0.55000000000000004">
      <c r="A237" s="11">
        <v>45055.409942129627</v>
      </c>
      <c r="B237" s="12" t="s">
        <v>168</v>
      </c>
      <c r="C237" s="12" t="s">
        <v>0</v>
      </c>
      <c r="D237" s="12" t="s">
        <v>28</v>
      </c>
      <c r="E237" s="12" t="s">
        <v>99</v>
      </c>
      <c r="F237" s="12"/>
      <c r="G237" s="12" t="s">
        <v>1</v>
      </c>
      <c r="H237" s="12" t="s">
        <v>10</v>
      </c>
      <c r="I237" s="12" t="s">
        <v>38</v>
      </c>
      <c r="J237" s="12" t="s">
        <v>2</v>
      </c>
      <c r="L237" s="4" t="e">
        <f>(#REF!-#REF!)</f>
        <v>#REF!</v>
      </c>
      <c r="M237" s="3" t="e">
        <f t="shared" si="5"/>
        <v>#REF!</v>
      </c>
      <c r="N237" s="2" t="e">
        <f>IF(#REF!=#REF!,"","Start")</f>
        <v>#REF!</v>
      </c>
    </row>
    <row r="238" spans="1:14" x14ac:dyDescent="0.55000000000000004">
      <c r="A238" s="11">
        <v>45055.40996527778</v>
      </c>
      <c r="B238" s="12" t="s">
        <v>168</v>
      </c>
      <c r="C238" s="12" t="s">
        <v>0</v>
      </c>
      <c r="D238" s="12" t="s">
        <v>28</v>
      </c>
      <c r="E238" s="12" t="s">
        <v>27</v>
      </c>
      <c r="F238" s="12"/>
      <c r="G238" s="12" t="s">
        <v>1</v>
      </c>
      <c r="H238" s="12" t="s">
        <v>10</v>
      </c>
      <c r="I238" s="12" t="s">
        <v>38</v>
      </c>
      <c r="J238" s="12" t="s">
        <v>2</v>
      </c>
      <c r="L238" s="4" t="e">
        <f>(#REF!-#REF!)</f>
        <v>#REF!</v>
      </c>
      <c r="M238" s="3" t="e">
        <f t="shared" si="5"/>
        <v>#REF!</v>
      </c>
      <c r="N238" s="2" t="e">
        <f>IF(#REF!=#REF!,"","Start")</f>
        <v>#REF!</v>
      </c>
    </row>
    <row r="239" spans="1:14" x14ac:dyDescent="0.55000000000000004">
      <c r="A239" s="11">
        <v>45055.40996527778</v>
      </c>
      <c r="B239" s="12" t="s">
        <v>168</v>
      </c>
      <c r="C239" s="12" t="s">
        <v>0</v>
      </c>
      <c r="D239" s="12" t="s">
        <v>28</v>
      </c>
      <c r="E239" s="12" t="s">
        <v>26</v>
      </c>
      <c r="F239" s="12"/>
      <c r="G239" s="12" t="s">
        <v>1</v>
      </c>
      <c r="H239" s="12" t="s">
        <v>10</v>
      </c>
      <c r="I239" s="12" t="s">
        <v>38</v>
      </c>
      <c r="J239" s="12" t="s">
        <v>2</v>
      </c>
      <c r="L239" s="4" t="e">
        <f>(#REF!-#REF!)</f>
        <v>#REF!</v>
      </c>
      <c r="M239" s="3" t="e">
        <f t="shared" si="5"/>
        <v>#REF!</v>
      </c>
      <c r="N239" s="2" t="e">
        <f>IF(#REF!=#REF!,"","Start")</f>
        <v>#REF!</v>
      </c>
    </row>
    <row r="240" spans="1:14" x14ac:dyDescent="0.55000000000000004">
      <c r="A240" s="11">
        <v>45055.41</v>
      </c>
      <c r="B240" s="12" t="s">
        <v>168</v>
      </c>
      <c r="C240" s="12" t="s">
        <v>0</v>
      </c>
      <c r="D240" s="12" t="s">
        <v>28</v>
      </c>
      <c r="E240" s="12" t="s">
        <v>26</v>
      </c>
      <c r="F240" s="12"/>
      <c r="G240" s="12" t="s">
        <v>1</v>
      </c>
      <c r="H240" s="12" t="s">
        <v>10</v>
      </c>
      <c r="I240" s="12" t="s">
        <v>38</v>
      </c>
      <c r="J240" s="12" t="s">
        <v>2</v>
      </c>
      <c r="L240" s="4" t="e">
        <f>(#REF!-#REF!)</f>
        <v>#REF!</v>
      </c>
      <c r="M240" s="3" t="e">
        <f t="shared" si="5"/>
        <v>#REF!</v>
      </c>
      <c r="N240" s="2" t="e">
        <f>IF(#REF!=#REF!,"","Start")</f>
        <v>#REF!</v>
      </c>
    </row>
    <row r="241" spans="1:14" x14ac:dyDescent="0.55000000000000004">
      <c r="A241" s="11">
        <v>45055.410081018519</v>
      </c>
      <c r="B241" s="12" t="s">
        <v>168</v>
      </c>
      <c r="C241" s="12" t="s">
        <v>0</v>
      </c>
      <c r="D241" s="12" t="s">
        <v>28</v>
      </c>
      <c r="E241" s="12" t="s">
        <v>3</v>
      </c>
      <c r="F241" s="12"/>
      <c r="G241" s="12" t="s">
        <v>1</v>
      </c>
      <c r="H241" s="12" t="s">
        <v>10</v>
      </c>
      <c r="I241" s="12" t="s">
        <v>38</v>
      </c>
      <c r="J241" s="12" t="s">
        <v>2</v>
      </c>
      <c r="L241" s="4" t="e">
        <f>(#REF!-#REF!)</f>
        <v>#REF!</v>
      </c>
      <c r="M241" s="3" t="e">
        <f t="shared" si="5"/>
        <v>#REF!</v>
      </c>
      <c r="N241" s="2" t="e">
        <f>IF(#REF!=#REF!,"","Start")</f>
        <v>#REF!</v>
      </c>
    </row>
    <row r="242" spans="1:14" x14ac:dyDescent="0.55000000000000004">
      <c r="A242" s="11">
        <v>45055.410150462965</v>
      </c>
      <c r="B242" s="12" t="s">
        <v>168</v>
      </c>
      <c r="C242" s="12" t="s">
        <v>0</v>
      </c>
      <c r="D242" s="12" t="s">
        <v>95</v>
      </c>
      <c r="E242" s="12" t="s">
        <v>183</v>
      </c>
      <c r="F242" s="12"/>
      <c r="G242" s="12" t="s">
        <v>1</v>
      </c>
      <c r="H242" s="12" t="s">
        <v>10</v>
      </c>
      <c r="I242" s="12" t="s">
        <v>38</v>
      </c>
      <c r="J242" s="12" t="s">
        <v>2</v>
      </c>
      <c r="L242" s="4" t="e">
        <f>(#REF!-#REF!)</f>
        <v>#REF!</v>
      </c>
      <c r="M242" s="3" t="e">
        <f t="shared" si="5"/>
        <v>#REF!</v>
      </c>
      <c r="N242" s="2" t="e">
        <f>IF(#REF!=#REF!,"","Start")</f>
        <v>#REF!</v>
      </c>
    </row>
    <row r="243" spans="1:14" x14ac:dyDescent="0.55000000000000004">
      <c r="A243" s="11">
        <v>45055.410173611112</v>
      </c>
      <c r="B243" s="12" t="s">
        <v>168</v>
      </c>
      <c r="C243" s="12" t="s">
        <v>0</v>
      </c>
      <c r="D243" s="12" t="s">
        <v>95</v>
      </c>
      <c r="E243" s="12" t="s">
        <v>122</v>
      </c>
      <c r="F243" s="12"/>
      <c r="G243" s="12" t="s">
        <v>1</v>
      </c>
      <c r="H243" s="12" t="s">
        <v>10</v>
      </c>
      <c r="I243" s="12" t="s">
        <v>38</v>
      </c>
      <c r="J243" s="12" t="s">
        <v>2</v>
      </c>
      <c r="L243" s="4" t="e">
        <f>(#REF!-#REF!)</f>
        <v>#REF!</v>
      </c>
      <c r="M243" s="3" t="e">
        <f t="shared" si="5"/>
        <v>#REF!</v>
      </c>
      <c r="N243" s="2" t="e">
        <f>IF(#REF!=#REF!,"","Start")</f>
        <v>#REF!</v>
      </c>
    </row>
    <row r="244" spans="1:14" x14ac:dyDescent="0.55000000000000004">
      <c r="A244" s="11">
        <v>45055.410185185188</v>
      </c>
      <c r="B244" s="12" t="s">
        <v>168</v>
      </c>
      <c r="C244" s="12" t="s">
        <v>0</v>
      </c>
      <c r="D244" s="12" t="s">
        <v>95</v>
      </c>
      <c r="E244" s="12" t="s">
        <v>124</v>
      </c>
      <c r="F244" s="12"/>
      <c r="G244" s="12" t="s">
        <v>1</v>
      </c>
      <c r="H244" s="12" t="s">
        <v>10</v>
      </c>
      <c r="I244" s="12" t="s">
        <v>38</v>
      </c>
      <c r="J244" s="12" t="s">
        <v>2</v>
      </c>
      <c r="L244" s="4" t="e">
        <f>(#REF!-#REF!)</f>
        <v>#REF!</v>
      </c>
      <c r="M244" s="3" t="e">
        <f t="shared" si="5"/>
        <v>#REF!</v>
      </c>
      <c r="N244" s="2" t="e">
        <f>IF(#REF!=#REF!,"","Start")</f>
        <v>#REF!</v>
      </c>
    </row>
    <row r="245" spans="1:14" x14ac:dyDescent="0.55000000000000004">
      <c r="A245" s="11">
        <v>45055.410208333335</v>
      </c>
      <c r="B245" s="12" t="s">
        <v>168</v>
      </c>
      <c r="C245" s="12" t="s">
        <v>0</v>
      </c>
      <c r="D245" s="12" t="s">
        <v>28</v>
      </c>
      <c r="E245" s="12" t="s">
        <v>99</v>
      </c>
      <c r="F245" s="12"/>
      <c r="G245" s="12" t="s">
        <v>1</v>
      </c>
      <c r="H245" s="12" t="s">
        <v>10</v>
      </c>
      <c r="I245" s="12" t="s">
        <v>38</v>
      </c>
      <c r="J245" s="12" t="s">
        <v>2</v>
      </c>
      <c r="L245" s="4" t="e">
        <f>(#REF!-#REF!)</f>
        <v>#REF!</v>
      </c>
      <c r="M245" s="3" t="e">
        <f t="shared" si="5"/>
        <v>#REF!</v>
      </c>
      <c r="N245" s="2" t="e">
        <f>IF(#REF!=#REF!,"","Start")</f>
        <v>#REF!</v>
      </c>
    </row>
    <row r="246" spans="1:14" x14ac:dyDescent="0.55000000000000004">
      <c r="A246" s="11">
        <v>45055.410219907404</v>
      </c>
      <c r="B246" s="12" t="s">
        <v>168</v>
      </c>
      <c r="C246" s="12" t="s">
        <v>0</v>
      </c>
      <c r="D246" s="12" t="s">
        <v>28</v>
      </c>
      <c r="E246" s="12" t="s">
        <v>3</v>
      </c>
      <c r="F246" s="12"/>
      <c r="G246" s="12" t="s">
        <v>1</v>
      </c>
      <c r="H246" s="12" t="s">
        <v>10</v>
      </c>
      <c r="I246" s="12" t="s">
        <v>38</v>
      </c>
      <c r="J246" s="12" t="s">
        <v>2</v>
      </c>
      <c r="L246" s="4" t="e">
        <f>(#REF!-#REF!)</f>
        <v>#REF!</v>
      </c>
      <c r="M246" s="3" t="e">
        <f t="shared" si="5"/>
        <v>#REF!</v>
      </c>
      <c r="N246" s="2" t="e">
        <f>IF(#REF!=#REF!,"","Start")</f>
        <v>#REF!</v>
      </c>
    </row>
    <row r="247" spans="1:14" x14ac:dyDescent="0.55000000000000004">
      <c r="A247" s="11">
        <v>45055.410243055558</v>
      </c>
      <c r="B247" s="12" t="s">
        <v>168</v>
      </c>
      <c r="C247" s="12" t="s">
        <v>0</v>
      </c>
      <c r="D247" s="12" t="s">
        <v>97</v>
      </c>
      <c r="E247" s="12" t="s">
        <v>3</v>
      </c>
      <c r="F247" s="12"/>
      <c r="G247" s="12" t="s">
        <v>1</v>
      </c>
      <c r="H247" s="12" t="s">
        <v>10</v>
      </c>
      <c r="I247" s="12" t="s">
        <v>38</v>
      </c>
      <c r="J247" s="12" t="s">
        <v>2</v>
      </c>
      <c r="L247" s="4" t="e">
        <f>(#REF!-#REF!)</f>
        <v>#REF!</v>
      </c>
      <c r="M247" s="3" t="e">
        <f t="shared" si="5"/>
        <v>#REF!</v>
      </c>
      <c r="N247" s="2" t="e">
        <f>IF(#REF!=#REF!,"","Start")</f>
        <v>#REF!</v>
      </c>
    </row>
    <row r="248" spans="1:14" x14ac:dyDescent="0.55000000000000004">
      <c r="A248" s="11">
        <v>45055.410254629627</v>
      </c>
      <c r="B248" s="12" t="s">
        <v>168</v>
      </c>
      <c r="C248" s="12" t="s">
        <v>0</v>
      </c>
      <c r="D248" s="12" t="s">
        <v>97</v>
      </c>
      <c r="E248" s="12" t="s">
        <v>98</v>
      </c>
      <c r="F248" s="12"/>
      <c r="G248" s="12" t="s">
        <v>1</v>
      </c>
      <c r="H248" s="12" t="s">
        <v>10</v>
      </c>
      <c r="I248" s="12" t="s">
        <v>38</v>
      </c>
      <c r="J248" s="12" t="s">
        <v>2</v>
      </c>
      <c r="L248" s="4" t="e">
        <f>(#REF!-#REF!)</f>
        <v>#REF!</v>
      </c>
      <c r="M248" s="3" t="e">
        <f t="shared" si="5"/>
        <v>#REF!</v>
      </c>
      <c r="N248" s="2" t="e">
        <f>IF(#REF!=#REF!,"","Start")</f>
        <v>#REF!</v>
      </c>
    </row>
    <row r="249" spans="1:14" x14ac:dyDescent="0.55000000000000004">
      <c r="A249" s="11">
        <v>45055.410266203704</v>
      </c>
      <c r="B249" s="12" t="s">
        <v>168</v>
      </c>
      <c r="C249" s="12" t="s">
        <v>0</v>
      </c>
      <c r="D249" s="12" t="s">
        <v>97</v>
      </c>
      <c r="E249" s="12" t="s">
        <v>3</v>
      </c>
      <c r="F249" s="12"/>
      <c r="G249" s="12" t="s">
        <v>1</v>
      </c>
      <c r="H249" s="12" t="s">
        <v>10</v>
      </c>
      <c r="I249" s="12" t="s">
        <v>38</v>
      </c>
      <c r="J249" s="12" t="s">
        <v>2</v>
      </c>
      <c r="L249" s="4" t="e">
        <f>(#REF!-#REF!)</f>
        <v>#REF!</v>
      </c>
      <c r="M249" s="3" t="e">
        <f t="shared" si="5"/>
        <v>#REF!</v>
      </c>
      <c r="N249" s="2" t="e">
        <f>IF(#REF!=#REF!,"","Start")</f>
        <v>#REF!</v>
      </c>
    </row>
    <row r="250" spans="1:14" x14ac:dyDescent="0.55000000000000004">
      <c r="A250" s="11">
        <v>45055.41028935185</v>
      </c>
      <c r="B250" s="12" t="s">
        <v>168</v>
      </c>
      <c r="C250" s="12" t="s">
        <v>0</v>
      </c>
      <c r="D250" s="12" t="s">
        <v>95</v>
      </c>
      <c r="E250" s="12" t="s">
        <v>122</v>
      </c>
      <c r="F250" s="12"/>
      <c r="G250" s="12" t="s">
        <v>1</v>
      </c>
      <c r="H250" s="12" t="s">
        <v>10</v>
      </c>
      <c r="I250" s="12" t="s">
        <v>38</v>
      </c>
      <c r="J250" s="12" t="s">
        <v>2</v>
      </c>
      <c r="L250" s="4" t="e">
        <f>(#REF!-#REF!)</f>
        <v>#REF!</v>
      </c>
      <c r="M250" s="3" t="e">
        <f t="shared" si="5"/>
        <v>#REF!</v>
      </c>
      <c r="N250" s="2" t="e">
        <f>IF(#REF!=#REF!,"","Start")</f>
        <v>#REF!</v>
      </c>
    </row>
    <row r="251" spans="1:14" x14ac:dyDescent="0.55000000000000004">
      <c r="A251" s="11">
        <v>45055.410312499997</v>
      </c>
      <c r="B251" s="12" t="s">
        <v>168</v>
      </c>
      <c r="C251" s="12" t="s">
        <v>0</v>
      </c>
      <c r="D251" s="12" t="s">
        <v>95</v>
      </c>
      <c r="E251" s="12" t="s">
        <v>3</v>
      </c>
      <c r="F251" s="12"/>
      <c r="G251" s="12" t="s">
        <v>1</v>
      </c>
      <c r="H251" s="12" t="s">
        <v>10</v>
      </c>
      <c r="I251" s="12" t="s">
        <v>38</v>
      </c>
      <c r="J251" s="12" t="s">
        <v>2</v>
      </c>
      <c r="L251" s="4" t="e">
        <f>(#REF!-#REF!)</f>
        <v>#REF!</v>
      </c>
      <c r="M251" s="3" t="e">
        <f t="shared" si="5"/>
        <v>#REF!</v>
      </c>
      <c r="N251" s="2" t="e">
        <f>IF(#REF!=#REF!,"","Start")</f>
        <v>#REF!</v>
      </c>
    </row>
    <row r="252" spans="1:14" x14ac:dyDescent="0.55000000000000004">
      <c r="A252" s="11">
        <v>45055.410416666666</v>
      </c>
      <c r="B252" s="12" t="s">
        <v>168</v>
      </c>
      <c r="C252" s="12" t="s">
        <v>0</v>
      </c>
      <c r="D252" s="12" t="s">
        <v>93</v>
      </c>
      <c r="E252" s="12" t="s">
        <v>94</v>
      </c>
      <c r="F252" s="12"/>
      <c r="G252" s="12" t="s">
        <v>1</v>
      </c>
      <c r="H252" s="12" t="s">
        <v>10</v>
      </c>
      <c r="I252" s="12" t="s">
        <v>38</v>
      </c>
      <c r="J252" s="12" t="s">
        <v>2</v>
      </c>
      <c r="L252" s="4" t="e">
        <f>(#REF!-#REF!)</f>
        <v>#REF!</v>
      </c>
      <c r="M252" s="3" t="e">
        <f t="shared" si="5"/>
        <v>#REF!</v>
      </c>
      <c r="N252" s="2" t="e">
        <f>IF(#REF!=#REF!,"","Start")</f>
        <v>#REF!</v>
      </c>
    </row>
    <row r="253" spans="1:14" x14ac:dyDescent="0.55000000000000004">
      <c r="A253" s="11">
        <v>45055.410439814812</v>
      </c>
      <c r="B253" s="12" t="s">
        <v>168</v>
      </c>
      <c r="C253" s="12" t="s">
        <v>0</v>
      </c>
      <c r="D253" s="12" t="s">
        <v>91</v>
      </c>
      <c r="E253" s="12" t="s">
        <v>163</v>
      </c>
      <c r="F253" s="12"/>
      <c r="G253" s="12" t="s">
        <v>1</v>
      </c>
      <c r="H253" s="12" t="s">
        <v>10</v>
      </c>
      <c r="I253" s="12" t="s">
        <v>38</v>
      </c>
      <c r="J253" s="12" t="s">
        <v>2</v>
      </c>
      <c r="L253" s="4" t="e">
        <f>(#REF!-#REF!)</f>
        <v>#REF!</v>
      </c>
      <c r="M253" s="3" t="e">
        <f t="shared" si="5"/>
        <v>#REF!</v>
      </c>
      <c r="N253" s="2" t="e">
        <f>IF(#REF!=#REF!,"","Start")</f>
        <v>#REF!</v>
      </c>
    </row>
    <row r="254" spans="1:14" x14ac:dyDescent="0.55000000000000004">
      <c r="A254" s="11">
        <v>45055.410497685189</v>
      </c>
      <c r="B254" s="12" t="s">
        <v>168</v>
      </c>
      <c r="C254" s="12" t="s">
        <v>0</v>
      </c>
      <c r="D254" s="12" t="s">
        <v>162</v>
      </c>
      <c r="E254" s="12" t="s">
        <v>73</v>
      </c>
      <c r="F254" s="12"/>
      <c r="G254" s="12" t="s">
        <v>1</v>
      </c>
      <c r="H254" s="12" t="s">
        <v>10</v>
      </c>
      <c r="I254" s="12" t="s">
        <v>38</v>
      </c>
      <c r="J254" s="12" t="s">
        <v>2</v>
      </c>
      <c r="L254" s="4" t="e">
        <f>(#REF!-#REF!)</f>
        <v>#REF!</v>
      </c>
      <c r="M254" s="3" t="e">
        <f t="shared" si="5"/>
        <v>#REF!</v>
      </c>
      <c r="N254" s="2" t="e">
        <f>IF(#REF!=#REF!,"","Start")</f>
        <v>#REF!</v>
      </c>
    </row>
    <row r="255" spans="1:14" x14ac:dyDescent="0.55000000000000004">
      <c r="A255" s="11">
        <v>45055.410532407404</v>
      </c>
      <c r="B255" s="12" t="s">
        <v>168</v>
      </c>
      <c r="C255" s="12" t="s">
        <v>0</v>
      </c>
      <c r="D255" s="12" t="s">
        <v>158</v>
      </c>
      <c r="E255" s="12" t="s">
        <v>180</v>
      </c>
      <c r="F255" s="12" t="s">
        <v>177</v>
      </c>
      <c r="G255" s="12" t="s">
        <v>1</v>
      </c>
      <c r="H255" s="12" t="s">
        <v>10</v>
      </c>
      <c r="I255" s="12" t="s">
        <v>38</v>
      </c>
      <c r="J255" s="12" t="s">
        <v>2</v>
      </c>
      <c r="L255" s="4" t="e">
        <f>(#REF!-#REF!)</f>
        <v>#REF!</v>
      </c>
      <c r="M255" s="3" t="e">
        <f t="shared" si="5"/>
        <v>#REF!</v>
      </c>
      <c r="N255" s="2" t="e">
        <f>IF(#REF!=#REF!,"","Start")</f>
        <v>#REF!</v>
      </c>
    </row>
    <row r="256" spans="1:14" x14ac:dyDescent="0.55000000000000004">
      <c r="A256" s="11">
        <v>45055.410543981481</v>
      </c>
      <c r="B256" s="12" t="s">
        <v>168</v>
      </c>
      <c r="C256" s="12" t="s">
        <v>0</v>
      </c>
      <c r="D256" s="12" t="s">
        <v>158</v>
      </c>
      <c r="E256" s="12" t="s">
        <v>180</v>
      </c>
      <c r="F256" s="12" t="s">
        <v>181</v>
      </c>
      <c r="G256" s="12" t="s">
        <v>1</v>
      </c>
      <c r="H256" s="12" t="s">
        <v>10</v>
      </c>
      <c r="I256" s="12" t="s">
        <v>38</v>
      </c>
      <c r="J256" s="12" t="s">
        <v>2</v>
      </c>
      <c r="L256" s="4" t="e">
        <f>(#REF!-#REF!)</f>
        <v>#REF!</v>
      </c>
      <c r="M256" s="3" t="e">
        <f t="shared" si="5"/>
        <v>#REF!</v>
      </c>
      <c r="N256" s="2" t="e">
        <f>IF(#REF!=#REF!,"","Start")</f>
        <v>#REF!</v>
      </c>
    </row>
    <row r="257" spans="1:14" x14ac:dyDescent="0.55000000000000004">
      <c r="A257" s="11">
        <v>45055.410590277781</v>
      </c>
      <c r="B257" s="12" t="s">
        <v>168</v>
      </c>
      <c r="C257" s="12" t="s">
        <v>0</v>
      </c>
      <c r="D257" s="12" t="s">
        <v>158</v>
      </c>
      <c r="E257" s="12" t="s">
        <v>161</v>
      </c>
      <c r="F257" s="12" t="s">
        <v>43</v>
      </c>
      <c r="G257" s="12" t="s">
        <v>1</v>
      </c>
      <c r="H257" s="12" t="s">
        <v>10</v>
      </c>
      <c r="I257" s="12" t="s">
        <v>38</v>
      </c>
      <c r="J257" s="12" t="s">
        <v>2</v>
      </c>
      <c r="L257" s="4" t="e">
        <f>(#REF!-#REF!)</f>
        <v>#REF!</v>
      </c>
      <c r="M257" s="3" t="e">
        <f t="shared" si="5"/>
        <v>#REF!</v>
      </c>
      <c r="N257" s="2" t="e">
        <f>IF(#REF!=#REF!,"","Start")</f>
        <v>#REF!</v>
      </c>
    </row>
    <row r="258" spans="1:14" x14ac:dyDescent="0.55000000000000004">
      <c r="A258" s="11">
        <v>45055.410601851851</v>
      </c>
      <c r="B258" s="12" t="s">
        <v>168</v>
      </c>
      <c r="C258" s="12" t="s">
        <v>0</v>
      </c>
      <c r="D258" s="12" t="s">
        <v>158</v>
      </c>
      <c r="E258" s="12" t="s">
        <v>151</v>
      </c>
      <c r="F258" s="12" t="s">
        <v>43</v>
      </c>
      <c r="G258" s="12" t="s">
        <v>1</v>
      </c>
      <c r="H258" s="12" t="s">
        <v>10</v>
      </c>
      <c r="I258" s="12" t="s">
        <v>38</v>
      </c>
      <c r="J258" s="12" t="s">
        <v>2</v>
      </c>
      <c r="L258" s="4" t="e">
        <f>(#REF!-#REF!)</f>
        <v>#REF!</v>
      </c>
      <c r="M258" s="3" t="e">
        <f t="shared" si="5"/>
        <v>#REF!</v>
      </c>
      <c r="N258" s="2" t="e">
        <f>IF(#REF!=#REF!,"","Start")</f>
        <v>#REF!</v>
      </c>
    </row>
    <row r="259" spans="1:14" x14ac:dyDescent="0.55000000000000004">
      <c r="A259" s="11">
        <v>45055.410624999997</v>
      </c>
      <c r="B259" s="12" t="s">
        <v>168</v>
      </c>
      <c r="C259" s="12" t="s">
        <v>0</v>
      </c>
      <c r="D259" s="12" t="s">
        <v>158</v>
      </c>
      <c r="E259" s="12" t="s">
        <v>73</v>
      </c>
      <c r="F259" s="12"/>
      <c r="G259" s="12" t="s">
        <v>1</v>
      </c>
      <c r="H259" s="12" t="s">
        <v>10</v>
      </c>
      <c r="I259" s="12" t="s">
        <v>38</v>
      </c>
      <c r="J259" s="12" t="s">
        <v>2</v>
      </c>
      <c r="L259" s="4" t="e">
        <f>(#REF!-#REF!)</f>
        <v>#REF!</v>
      </c>
      <c r="M259" s="3" t="e">
        <f t="shared" si="5"/>
        <v>#REF!</v>
      </c>
      <c r="N259" s="2" t="e">
        <f>IF(#REF!=#REF!,"","Start")</f>
        <v>#REF!</v>
      </c>
    </row>
    <row r="260" spans="1:14" x14ac:dyDescent="0.55000000000000004">
      <c r="A260" s="11">
        <v>45055.410682870373</v>
      </c>
      <c r="B260" s="12" t="s">
        <v>168</v>
      </c>
      <c r="C260" s="12" t="s">
        <v>0</v>
      </c>
      <c r="D260" s="12" t="s">
        <v>157</v>
      </c>
      <c r="E260" s="12" t="s">
        <v>80</v>
      </c>
      <c r="F260" s="12"/>
      <c r="G260" s="12" t="s">
        <v>1</v>
      </c>
      <c r="H260" s="12" t="s">
        <v>10</v>
      </c>
      <c r="I260" s="12" t="s">
        <v>38</v>
      </c>
      <c r="J260" s="12" t="s">
        <v>2</v>
      </c>
      <c r="L260" s="4" t="e">
        <f>(#REF!-#REF!)</f>
        <v>#REF!</v>
      </c>
      <c r="M260" s="3" t="e">
        <f t="shared" ref="M260:M323" si="6">IF(AND(L260&gt;0, L260&lt;0.0207),L260/Q$1,0)</f>
        <v>#REF!</v>
      </c>
      <c r="N260" s="2" t="e">
        <f>IF(#REF!=#REF!,"","Start")</f>
        <v>#REF!</v>
      </c>
    </row>
    <row r="261" spans="1:14" x14ac:dyDescent="0.55000000000000004">
      <c r="A261" s="11">
        <v>45055.41070601852</v>
      </c>
      <c r="B261" s="12" t="s">
        <v>168</v>
      </c>
      <c r="C261" s="12" t="s">
        <v>0</v>
      </c>
      <c r="D261" s="12" t="s">
        <v>153</v>
      </c>
      <c r="E261" s="12" t="s">
        <v>76</v>
      </c>
      <c r="F261" s="12" t="s">
        <v>188</v>
      </c>
      <c r="G261" s="12" t="s">
        <v>1</v>
      </c>
      <c r="H261" s="12" t="s">
        <v>10</v>
      </c>
      <c r="I261" s="12" t="s">
        <v>38</v>
      </c>
      <c r="J261" s="12" t="s">
        <v>2</v>
      </c>
      <c r="L261" s="4" t="e">
        <f>(#REF!-#REF!)</f>
        <v>#REF!</v>
      </c>
      <c r="M261" s="3" t="e">
        <f t="shared" si="6"/>
        <v>#REF!</v>
      </c>
      <c r="N261" s="2" t="e">
        <f>IF(#REF!=#REF!,"","Start")</f>
        <v>#REF!</v>
      </c>
    </row>
    <row r="262" spans="1:14" x14ac:dyDescent="0.55000000000000004">
      <c r="A262" s="11">
        <v>45055.41070601852</v>
      </c>
      <c r="B262" s="12" t="s">
        <v>168</v>
      </c>
      <c r="C262" s="12" t="s">
        <v>0</v>
      </c>
      <c r="D262" s="12" t="s">
        <v>153</v>
      </c>
      <c r="E262" s="12" t="s">
        <v>76</v>
      </c>
      <c r="F262" s="12" t="s">
        <v>156</v>
      </c>
      <c r="G262" s="12" t="s">
        <v>1</v>
      </c>
      <c r="H262" s="12" t="s">
        <v>10</v>
      </c>
      <c r="I262" s="12" t="s">
        <v>38</v>
      </c>
      <c r="J262" s="12" t="s">
        <v>2</v>
      </c>
      <c r="L262" s="4" t="e">
        <f>(#REF!-#REF!)</f>
        <v>#REF!</v>
      </c>
      <c r="M262" s="3" t="e">
        <f t="shared" si="6"/>
        <v>#REF!</v>
      </c>
      <c r="N262" s="2" t="e">
        <f>IF(#REF!=#REF!,"","Start")</f>
        <v>#REF!</v>
      </c>
    </row>
    <row r="263" spans="1:14" x14ac:dyDescent="0.55000000000000004">
      <c r="A263" s="11">
        <v>45055.410717592589</v>
      </c>
      <c r="B263" s="12" t="s">
        <v>168</v>
      </c>
      <c r="C263" s="12" t="s">
        <v>0</v>
      </c>
      <c r="D263" s="12" t="s">
        <v>153</v>
      </c>
      <c r="E263" s="12" t="s">
        <v>73</v>
      </c>
      <c r="F263" s="12"/>
      <c r="G263" s="12" t="s">
        <v>1</v>
      </c>
      <c r="H263" s="12" t="s">
        <v>10</v>
      </c>
      <c r="I263" s="12" t="s">
        <v>38</v>
      </c>
      <c r="J263" s="12" t="s">
        <v>2</v>
      </c>
      <c r="L263" s="4" t="e">
        <f>(#REF!-#REF!)</f>
        <v>#REF!</v>
      </c>
      <c r="M263" s="3" t="e">
        <f t="shared" si="6"/>
        <v>#REF!</v>
      </c>
      <c r="N263" s="2" t="e">
        <f>IF(#REF!=#REF!,"","Start")</f>
        <v>#REF!</v>
      </c>
    </row>
    <row r="264" spans="1:14" x14ac:dyDescent="0.55000000000000004">
      <c r="A264" s="11">
        <v>45055.410740740743</v>
      </c>
      <c r="B264" s="12" t="s">
        <v>168</v>
      </c>
      <c r="C264" s="12" t="s">
        <v>0</v>
      </c>
      <c r="D264" s="12" t="s">
        <v>150</v>
      </c>
      <c r="E264" s="12" t="s">
        <v>159</v>
      </c>
      <c r="F264" s="12" t="s">
        <v>160</v>
      </c>
      <c r="G264" s="12" t="s">
        <v>1</v>
      </c>
      <c r="H264" s="12" t="s">
        <v>10</v>
      </c>
      <c r="I264" s="12" t="s">
        <v>38</v>
      </c>
      <c r="J264" s="12" t="s">
        <v>2</v>
      </c>
      <c r="L264" s="4" t="e">
        <f>(#REF!-#REF!)</f>
        <v>#REF!</v>
      </c>
      <c r="M264" s="3" t="e">
        <f t="shared" si="6"/>
        <v>#REF!</v>
      </c>
      <c r="N264" s="2" t="e">
        <f>IF(#REF!=#REF!,"","Start")</f>
        <v>#REF!</v>
      </c>
    </row>
    <row r="265" spans="1:14" x14ac:dyDescent="0.55000000000000004">
      <c r="A265" s="11">
        <v>45055.410752314812</v>
      </c>
      <c r="B265" s="12" t="s">
        <v>168</v>
      </c>
      <c r="C265" s="12" t="s">
        <v>0</v>
      </c>
      <c r="D265" s="12" t="s">
        <v>150</v>
      </c>
      <c r="E265" s="12" t="s">
        <v>159</v>
      </c>
      <c r="F265" s="12" t="s">
        <v>187</v>
      </c>
      <c r="G265" s="12" t="s">
        <v>1</v>
      </c>
      <c r="H265" s="12" t="s">
        <v>10</v>
      </c>
      <c r="I265" s="12" t="s">
        <v>38</v>
      </c>
      <c r="J265" s="12" t="s">
        <v>2</v>
      </c>
      <c r="L265" s="4" t="e">
        <f>(#REF!-#REF!)</f>
        <v>#REF!</v>
      </c>
      <c r="M265" s="3" t="e">
        <f t="shared" si="6"/>
        <v>#REF!</v>
      </c>
      <c r="N265" s="2" t="e">
        <f>IF(#REF!=#REF!,"","Start")</f>
        <v>#REF!</v>
      </c>
    </row>
    <row r="266" spans="1:14" x14ac:dyDescent="0.55000000000000004">
      <c r="A266" s="11">
        <v>45055.410763888889</v>
      </c>
      <c r="B266" s="12" t="s">
        <v>168</v>
      </c>
      <c r="C266" s="12" t="s">
        <v>0</v>
      </c>
      <c r="D266" s="12" t="s">
        <v>150</v>
      </c>
      <c r="E266" s="12" t="s">
        <v>73</v>
      </c>
      <c r="F266" s="12"/>
      <c r="G266" s="12" t="s">
        <v>1</v>
      </c>
      <c r="H266" s="12" t="s">
        <v>10</v>
      </c>
      <c r="I266" s="12" t="s">
        <v>38</v>
      </c>
      <c r="J266" s="12" t="s">
        <v>2</v>
      </c>
      <c r="L266" s="4" t="e">
        <f>(#REF!-#REF!)</f>
        <v>#REF!</v>
      </c>
      <c r="M266" s="3" t="e">
        <f t="shared" si="6"/>
        <v>#REF!</v>
      </c>
      <c r="N266" s="2" t="e">
        <f>IF(#REF!=#REF!,"","Start")</f>
        <v>#REF!</v>
      </c>
    </row>
    <row r="267" spans="1:14" x14ac:dyDescent="0.55000000000000004">
      <c r="A267" s="11">
        <v>45055.410821759258</v>
      </c>
      <c r="B267" s="12" t="s">
        <v>168</v>
      </c>
      <c r="C267" s="12" t="s">
        <v>0</v>
      </c>
      <c r="D267" s="12" t="s">
        <v>149</v>
      </c>
      <c r="E267" s="12" t="s">
        <v>132</v>
      </c>
      <c r="F267" s="12"/>
      <c r="G267" s="12" t="s">
        <v>1</v>
      </c>
      <c r="H267" s="12" t="s">
        <v>10</v>
      </c>
      <c r="I267" s="12" t="s">
        <v>38</v>
      </c>
      <c r="J267" s="12" t="s">
        <v>2</v>
      </c>
      <c r="L267" s="4" t="e">
        <f>(#REF!-#REF!)</f>
        <v>#REF!</v>
      </c>
      <c r="M267" s="3" t="e">
        <f t="shared" si="6"/>
        <v>#REF!</v>
      </c>
      <c r="N267" s="2" t="e">
        <f>IF(#REF!=#REF!,"","Start")</f>
        <v>#REF!</v>
      </c>
    </row>
    <row r="268" spans="1:14" x14ac:dyDescent="0.55000000000000004">
      <c r="A268" s="11">
        <v>45055.410844907405</v>
      </c>
      <c r="B268" s="12" t="s">
        <v>168</v>
      </c>
      <c r="C268" s="12" t="s">
        <v>0</v>
      </c>
      <c r="D268" s="12" t="s">
        <v>120</v>
      </c>
      <c r="E268" s="12" t="s">
        <v>121</v>
      </c>
      <c r="F268" s="12"/>
      <c r="G268" s="12" t="s">
        <v>1</v>
      </c>
      <c r="H268" s="12" t="s">
        <v>10</v>
      </c>
      <c r="I268" s="12" t="s">
        <v>38</v>
      </c>
      <c r="J268" s="12" t="s">
        <v>2</v>
      </c>
      <c r="L268" s="4" t="e">
        <f>(#REF!-#REF!)</f>
        <v>#REF!</v>
      </c>
      <c r="M268" s="3" t="e">
        <f t="shared" si="6"/>
        <v>#REF!</v>
      </c>
      <c r="N268" s="2" t="e">
        <f>IF(#REF!=#REF!,"","Start")</f>
        <v>#REF!</v>
      </c>
    </row>
    <row r="269" spans="1:14" x14ac:dyDescent="0.55000000000000004">
      <c r="A269" s="11">
        <v>45055.410868055558</v>
      </c>
      <c r="B269" s="12" t="s">
        <v>168</v>
      </c>
      <c r="C269" s="12" t="s">
        <v>0</v>
      </c>
      <c r="D269" s="12" t="s">
        <v>149</v>
      </c>
      <c r="E269" s="12" t="s">
        <v>132</v>
      </c>
      <c r="F269" s="12"/>
      <c r="G269" s="12" t="s">
        <v>1</v>
      </c>
      <c r="H269" s="12" t="s">
        <v>10</v>
      </c>
      <c r="I269" s="12" t="s">
        <v>38</v>
      </c>
      <c r="J269" s="12" t="s">
        <v>2</v>
      </c>
      <c r="L269" s="4" t="e">
        <f>(#REF!-#REF!)</f>
        <v>#REF!</v>
      </c>
      <c r="M269" s="3" t="e">
        <f t="shared" si="6"/>
        <v>#REF!</v>
      </c>
      <c r="N269" s="2" t="e">
        <f>IF(#REF!=#REF!,"","Start")</f>
        <v>#REF!</v>
      </c>
    </row>
    <row r="270" spans="1:14" x14ac:dyDescent="0.55000000000000004">
      <c r="A270" s="11">
        <v>45055.410937499997</v>
      </c>
      <c r="B270" s="12" t="s">
        <v>168</v>
      </c>
      <c r="C270" s="12" t="s">
        <v>0</v>
      </c>
      <c r="D270" s="12" t="s">
        <v>120</v>
      </c>
      <c r="E270" s="12" t="s">
        <v>121</v>
      </c>
      <c r="F270" s="12"/>
      <c r="G270" s="12" t="s">
        <v>1</v>
      </c>
      <c r="H270" s="12" t="s">
        <v>10</v>
      </c>
      <c r="I270" s="12" t="s">
        <v>38</v>
      </c>
      <c r="J270" s="12" t="s">
        <v>2</v>
      </c>
      <c r="L270" s="4" t="e">
        <f>(#REF!-#REF!)</f>
        <v>#REF!</v>
      </c>
      <c r="M270" s="3" t="e">
        <f t="shared" si="6"/>
        <v>#REF!</v>
      </c>
      <c r="N270" s="2" t="e">
        <f>IF(#REF!=#REF!,"","Start")</f>
        <v>#REF!</v>
      </c>
    </row>
    <row r="271" spans="1:14" x14ac:dyDescent="0.55000000000000004">
      <c r="A271" s="11">
        <v>45055.410949074074</v>
      </c>
      <c r="B271" s="12" t="s">
        <v>168</v>
      </c>
      <c r="C271" s="12" t="s">
        <v>0</v>
      </c>
      <c r="D271" s="12" t="s">
        <v>149</v>
      </c>
      <c r="E271" s="12" t="s">
        <v>71</v>
      </c>
      <c r="F271" s="12"/>
      <c r="G271" s="12" t="s">
        <v>1</v>
      </c>
      <c r="H271" s="12" t="s">
        <v>10</v>
      </c>
      <c r="I271" s="12" t="s">
        <v>38</v>
      </c>
      <c r="J271" s="12" t="s">
        <v>2</v>
      </c>
      <c r="L271" s="4" t="e">
        <f>(#REF!-#REF!)</f>
        <v>#REF!</v>
      </c>
      <c r="M271" s="3" t="e">
        <f t="shared" si="6"/>
        <v>#REF!</v>
      </c>
      <c r="N271" s="2" t="e">
        <f>IF(#REF!=#REF!,"","Start")</f>
        <v>#REF!</v>
      </c>
    </row>
    <row r="272" spans="1:14" x14ac:dyDescent="0.55000000000000004">
      <c r="A272" s="11">
        <v>45055.411041666666</v>
      </c>
      <c r="B272" s="12" t="s">
        <v>168</v>
      </c>
      <c r="C272" s="12" t="s">
        <v>0</v>
      </c>
      <c r="D272" s="12" t="s">
        <v>68</v>
      </c>
      <c r="E272" s="12" t="s">
        <v>69</v>
      </c>
      <c r="F272" s="12"/>
      <c r="G272" s="12" t="s">
        <v>1</v>
      </c>
      <c r="H272" s="12" t="s">
        <v>10</v>
      </c>
      <c r="I272" s="12" t="s">
        <v>38</v>
      </c>
      <c r="J272" s="12" t="s">
        <v>2</v>
      </c>
      <c r="L272" s="4" t="e">
        <f>(#REF!-#REF!)</f>
        <v>#REF!</v>
      </c>
      <c r="M272" s="3" t="e">
        <f t="shared" si="6"/>
        <v>#REF!</v>
      </c>
      <c r="N272" s="2" t="e">
        <f>IF(#REF!=#REF!,"","Start")</f>
        <v>#REF!</v>
      </c>
    </row>
    <row r="273" spans="1:14" x14ac:dyDescent="0.55000000000000004">
      <c r="A273" s="11">
        <v>45055.411064814813</v>
      </c>
      <c r="B273" s="12" t="s">
        <v>168</v>
      </c>
      <c r="C273" s="12" t="s">
        <v>0</v>
      </c>
      <c r="D273" s="12" t="s">
        <v>65</v>
      </c>
      <c r="E273" s="12" t="s">
        <v>67</v>
      </c>
      <c r="F273" s="12"/>
      <c r="G273" s="12" t="s">
        <v>1</v>
      </c>
      <c r="H273" s="12" t="s">
        <v>10</v>
      </c>
      <c r="I273" s="12" t="s">
        <v>38</v>
      </c>
      <c r="J273" s="12" t="s">
        <v>2</v>
      </c>
      <c r="L273" s="4" t="e">
        <f>(#REF!-#REF!)</f>
        <v>#REF!</v>
      </c>
      <c r="M273" s="3" t="e">
        <f t="shared" si="6"/>
        <v>#REF!</v>
      </c>
      <c r="N273" s="2" t="e">
        <f>IF(#REF!=#REF!,"","Start")</f>
        <v>#REF!</v>
      </c>
    </row>
    <row r="274" spans="1:14" x14ac:dyDescent="0.55000000000000004">
      <c r="A274" s="11">
        <v>45055.411076388889</v>
      </c>
      <c r="B274" s="12" t="s">
        <v>168</v>
      </c>
      <c r="C274" s="12" t="s">
        <v>0</v>
      </c>
      <c r="D274" s="12" t="s">
        <v>65</v>
      </c>
      <c r="E274" s="12" t="s">
        <v>3</v>
      </c>
      <c r="F274" s="12"/>
      <c r="G274" s="12" t="s">
        <v>1</v>
      </c>
      <c r="H274" s="12" t="s">
        <v>10</v>
      </c>
      <c r="I274" s="12" t="s">
        <v>38</v>
      </c>
      <c r="J274" s="12" t="s">
        <v>2</v>
      </c>
      <c r="L274" s="4" t="e">
        <f>(#REF!-#REF!)</f>
        <v>#REF!</v>
      </c>
      <c r="M274" s="3" t="e">
        <f t="shared" si="6"/>
        <v>#REF!</v>
      </c>
      <c r="N274" s="2" t="e">
        <f>IF(#REF!=#REF!,"","Start")</f>
        <v>#REF!</v>
      </c>
    </row>
    <row r="275" spans="1:14" x14ac:dyDescent="0.55000000000000004">
      <c r="A275" s="11">
        <v>45055.411076388889</v>
      </c>
      <c r="B275" s="12" t="s">
        <v>168</v>
      </c>
      <c r="C275" s="12" t="s">
        <v>0</v>
      </c>
      <c r="D275" s="12" t="s">
        <v>65</v>
      </c>
      <c r="E275" s="12" t="s">
        <v>119</v>
      </c>
      <c r="F275" s="12"/>
      <c r="G275" s="12" t="s">
        <v>1</v>
      </c>
      <c r="H275" s="12" t="s">
        <v>10</v>
      </c>
      <c r="I275" s="12" t="s">
        <v>38</v>
      </c>
      <c r="J275" s="12" t="s">
        <v>2</v>
      </c>
      <c r="L275" s="4" t="e">
        <f>(#REF!-#REF!)</f>
        <v>#REF!</v>
      </c>
      <c r="M275" s="3" t="e">
        <f t="shared" si="6"/>
        <v>#REF!</v>
      </c>
      <c r="N275" s="2" t="e">
        <f>IF(#REF!=#REF!,"","Start")</f>
        <v>#REF!</v>
      </c>
    </row>
    <row r="276" spans="1:14" x14ac:dyDescent="0.55000000000000004">
      <c r="A276" s="11">
        <v>45055.411099537036</v>
      </c>
      <c r="B276" s="12" t="s">
        <v>168</v>
      </c>
      <c r="C276" s="12" t="s">
        <v>0</v>
      </c>
      <c r="D276" s="12" t="s">
        <v>62</v>
      </c>
      <c r="E276" s="12" t="s">
        <v>131</v>
      </c>
      <c r="F276" s="12"/>
      <c r="G276" s="12" t="s">
        <v>1</v>
      </c>
      <c r="H276" s="12" t="s">
        <v>10</v>
      </c>
      <c r="I276" s="12" t="s">
        <v>38</v>
      </c>
      <c r="J276" s="12" t="s">
        <v>2</v>
      </c>
      <c r="L276" s="4" t="e">
        <f>(#REF!-#REF!)</f>
        <v>#REF!</v>
      </c>
      <c r="M276" s="3" t="e">
        <f t="shared" si="6"/>
        <v>#REF!</v>
      </c>
      <c r="N276" s="2" t="e">
        <f>IF(#REF!=#REF!,"","Start")</f>
        <v>#REF!</v>
      </c>
    </row>
    <row r="277" spans="1:14" x14ac:dyDescent="0.55000000000000004">
      <c r="A277" s="11">
        <v>45055.411111111112</v>
      </c>
      <c r="B277" s="12" t="s">
        <v>168</v>
      </c>
      <c r="C277" s="12" t="s">
        <v>0</v>
      </c>
      <c r="D277" s="12" t="s">
        <v>62</v>
      </c>
      <c r="E277" s="12" t="s">
        <v>3</v>
      </c>
      <c r="F277" s="12"/>
      <c r="G277" s="12" t="s">
        <v>1</v>
      </c>
      <c r="H277" s="12" t="s">
        <v>10</v>
      </c>
      <c r="I277" s="12" t="s">
        <v>38</v>
      </c>
      <c r="J277" s="12" t="s">
        <v>2</v>
      </c>
      <c r="L277" s="4" t="e">
        <f>(#REF!-#REF!)</f>
        <v>#REF!</v>
      </c>
      <c r="M277" s="3" t="e">
        <f t="shared" si="6"/>
        <v>#REF!</v>
      </c>
      <c r="N277" s="2" t="e">
        <f>IF(#REF!=#REF!,"","Start")</f>
        <v>#REF!</v>
      </c>
    </row>
    <row r="278" spans="1:14" x14ac:dyDescent="0.55000000000000004">
      <c r="A278" s="11">
        <v>45055.411111111112</v>
      </c>
      <c r="B278" s="12" t="s">
        <v>168</v>
      </c>
      <c r="C278" s="12" t="s">
        <v>0</v>
      </c>
      <c r="D278" s="12" t="s">
        <v>62</v>
      </c>
      <c r="E278" s="12" t="s">
        <v>186</v>
      </c>
      <c r="F278" s="12"/>
      <c r="G278" s="12" t="s">
        <v>1</v>
      </c>
      <c r="H278" s="12" t="s">
        <v>10</v>
      </c>
      <c r="I278" s="12" t="s">
        <v>38</v>
      </c>
      <c r="J278" s="12" t="s">
        <v>2</v>
      </c>
      <c r="L278" s="4" t="e">
        <f>(#REF!-#REF!)</f>
        <v>#REF!</v>
      </c>
      <c r="M278" s="3" t="e">
        <f t="shared" si="6"/>
        <v>#REF!</v>
      </c>
      <c r="N278" s="2" t="e">
        <f>IF(#REF!=#REF!,"","Start")</f>
        <v>#REF!</v>
      </c>
    </row>
    <row r="279" spans="1:14" x14ac:dyDescent="0.55000000000000004">
      <c r="A279" s="11">
        <v>45055.411134259259</v>
      </c>
      <c r="B279" s="12" t="s">
        <v>168</v>
      </c>
      <c r="C279" s="12" t="s">
        <v>0</v>
      </c>
      <c r="D279" s="12" t="s">
        <v>59</v>
      </c>
      <c r="E279" s="12" t="s">
        <v>3</v>
      </c>
      <c r="F279" s="12"/>
      <c r="G279" s="12" t="s">
        <v>1</v>
      </c>
      <c r="H279" s="12" t="s">
        <v>10</v>
      </c>
      <c r="I279" s="12" t="s">
        <v>38</v>
      </c>
      <c r="J279" s="12" t="s">
        <v>2</v>
      </c>
      <c r="L279" s="4" t="e">
        <f>(#REF!-#REF!)</f>
        <v>#REF!</v>
      </c>
      <c r="M279" s="3" t="e">
        <f t="shared" si="6"/>
        <v>#REF!</v>
      </c>
      <c r="N279" s="2" t="e">
        <f>IF(#REF!=#REF!,"","Start")</f>
        <v>#REF!</v>
      </c>
    </row>
    <row r="280" spans="1:14" x14ac:dyDescent="0.55000000000000004">
      <c r="A280" s="11">
        <v>45055.411145833335</v>
      </c>
      <c r="B280" s="12" t="s">
        <v>168</v>
      </c>
      <c r="C280" s="12" t="s">
        <v>0</v>
      </c>
      <c r="D280" s="12" t="s">
        <v>59</v>
      </c>
      <c r="E280" s="12" t="s">
        <v>61</v>
      </c>
      <c r="F280" s="12"/>
      <c r="G280" s="12" t="s">
        <v>1</v>
      </c>
      <c r="H280" s="12" t="s">
        <v>10</v>
      </c>
      <c r="I280" s="12" t="s">
        <v>38</v>
      </c>
      <c r="J280" s="12" t="s">
        <v>2</v>
      </c>
      <c r="L280" s="4" t="e">
        <f>(#REF!-#REF!)</f>
        <v>#REF!</v>
      </c>
      <c r="M280" s="3" t="e">
        <f t="shared" si="6"/>
        <v>#REF!</v>
      </c>
      <c r="N280" s="2" t="e">
        <f>IF(#REF!=#REF!,"","Start")</f>
        <v>#REF!</v>
      </c>
    </row>
    <row r="281" spans="1:14" x14ac:dyDescent="0.55000000000000004">
      <c r="A281" s="11">
        <v>45055.411157407405</v>
      </c>
      <c r="B281" s="12" t="s">
        <v>168</v>
      </c>
      <c r="C281" s="12" t="s">
        <v>0</v>
      </c>
      <c r="D281" s="12" t="s">
        <v>59</v>
      </c>
      <c r="E281" s="12" t="s">
        <v>3</v>
      </c>
      <c r="F281" s="12"/>
      <c r="G281" s="12" t="s">
        <v>1</v>
      </c>
      <c r="H281" s="12" t="s">
        <v>10</v>
      </c>
      <c r="I281" s="12" t="s">
        <v>38</v>
      </c>
      <c r="J281" s="12" t="s">
        <v>2</v>
      </c>
      <c r="L281" s="4" t="e">
        <f>(#REF!-#REF!)</f>
        <v>#REF!</v>
      </c>
      <c r="M281" s="3" t="e">
        <f t="shared" si="6"/>
        <v>#REF!</v>
      </c>
      <c r="N281" s="2" t="e">
        <f>IF(#REF!=#REF!,"","Start")</f>
        <v>#REF!</v>
      </c>
    </row>
    <row r="282" spans="1:14" x14ac:dyDescent="0.55000000000000004">
      <c r="A282" s="11">
        <v>45055.411157407405</v>
      </c>
      <c r="B282" s="12" t="s">
        <v>168</v>
      </c>
      <c r="C282" s="12" t="s">
        <v>0</v>
      </c>
      <c r="D282" s="12" t="s">
        <v>59</v>
      </c>
      <c r="E282" s="12" t="s">
        <v>60</v>
      </c>
      <c r="F282" s="12"/>
      <c r="G282" s="12" t="s">
        <v>1</v>
      </c>
      <c r="H282" s="12" t="s">
        <v>10</v>
      </c>
      <c r="I282" s="12" t="s">
        <v>38</v>
      </c>
      <c r="J282" s="12" t="s">
        <v>2</v>
      </c>
      <c r="L282" s="4" t="e">
        <f>(#REF!-#REF!)</f>
        <v>#REF!</v>
      </c>
      <c r="M282" s="3" t="e">
        <f t="shared" si="6"/>
        <v>#REF!</v>
      </c>
      <c r="N282" s="2" t="e">
        <f>IF(#REF!=#REF!,"","Start")</f>
        <v>#REF!</v>
      </c>
    </row>
    <row r="283" spans="1:14" x14ac:dyDescent="0.55000000000000004">
      <c r="A283" s="11">
        <v>45055.411180555559</v>
      </c>
      <c r="B283" s="12" t="s">
        <v>168</v>
      </c>
      <c r="C283" s="12" t="s">
        <v>0</v>
      </c>
      <c r="D283" s="12" t="s">
        <v>56</v>
      </c>
      <c r="E283" s="12" t="s">
        <v>129</v>
      </c>
      <c r="F283" s="12"/>
      <c r="G283" s="12" t="s">
        <v>1</v>
      </c>
      <c r="H283" s="12" t="s">
        <v>10</v>
      </c>
      <c r="I283" s="12" t="s">
        <v>38</v>
      </c>
      <c r="J283" s="12" t="s">
        <v>2</v>
      </c>
      <c r="L283" s="4" t="e">
        <f>(#REF!-#REF!)</f>
        <v>#REF!</v>
      </c>
      <c r="M283" s="3" t="e">
        <f t="shared" si="6"/>
        <v>#REF!</v>
      </c>
      <c r="N283" s="2" t="e">
        <f>IF(#REF!=#REF!,"","Start")</f>
        <v>#REF!</v>
      </c>
    </row>
    <row r="284" spans="1:14" x14ac:dyDescent="0.55000000000000004">
      <c r="A284" s="11">
        <v>45055.411192129628</v>
      </c>
      <c r="B284" s="12" t="s">
        <v>168</v>
      </c>
      <c r="C284" s="12" t="s">
        <v>0</v>
      </c>
      <c r="D284" s="12" t="s">
        <v>56</v>
      </c>
      <c r="E284" s="12" t="s">
        <v>3</v>
      </c>
      <c r="F284" s="12"/>
      <c r="G284" s="12" t="s">
        <v>1</v>
      </c>
      <c r="H284" s="12" t="s">
        <v>10</v>
      </c>
      <c r="I284" s="12" t="s">
        <v>38</v>
      </c>
      <c r="J284" s="12" t="s">
        <v>2</v>
      </c>
      <c r="L284" s="4" t="e">
        <f>(#REF!-#REF!)</f>
        <v>#REF!</v>
      </c>
      <c r="M284" s="3" t="e">
        <f t="shared" si="6"/>
        <v>#REF!</v>
      </c>
      <c r="N284" s="2" t="e">
        <f>IF(#REF!=#REF!,"","Start")</f>
        <v>#REF!</v>
      </c>
    </row>
    <row r="285" spans="1:14" x14ac:dyDescent="0.55000000000000004">
      <c r="A285" s="11">
        <v>45055.411192129628</v>
      </c>
      <c r="B285" s="12" t="s">
        <v>168</v>
      </c>
      <c r="C285" s="12" t="s">
        <v>0</v>
      </c>
      <c r="D285" s="12" t="s">
        <v>56</v>
      </c>
      <c r="E285" s="12" t="s">
        <v>57</v>
      </c>
      <c r="F285" s="12"/>
      <c r="G285" s="12" t="s">
        <v>1</v>
      </c>
      <c r="H285" s="12" t="s">
        <v>10</v>
      </c>
      <c r="I285" s="12" t="s">
        <v>38</v>
      </c>
      <c r="J285" s="12" t="s">
        <v>2</v>
      </c>
      <c r="L285" s="4" t="e">
        <f>(#REF!-#REF!)</f>
        <v>#REF!</v>
      </c>
      <c r="M285" s="3" t="e">
        <f t="shared" si="6"/>
        <v>#REF!</v>
      </c>
      <c r="N285" s="2" t="e">
        <f>IF(#REF!=#REF!,"","Start")</f>
        <v>#REF!</v>
      </c>
    </row>
    <row r="286" spans="1:14" x14ac:dyDescent="0.55000000000000004">
      <c r="A286" s="11">
        <v>45055.411215277774</v>
      </c>
      <c r="B286" s="12" t="s">
        <v>168</v>
      </c>
      <c r="C286" s="12" t="s">
        <v>0</v>
      </c>
      <c r="D286" s="12" t="s">
        <v>52</v>
      </c>
      <c r="E286" s="12" t="s">
        <v>55</v>
      </c>
      <c r="F286" s="12" t="s">
        <v>43</v>
      </c>
      <c r="G286" s="12" t="s">
        <v>1</v>
      </c>
      <c r="H286" s="12" t="s">
        <v>10</v>
      </c>
      <c r="I286" s="12" t="s">
        <v>38</v>
      </c>
      <c r="J286" s="12" t="s">
        <v>2</v>
      </c>
      <c r="L286" s="4" t="e">
        <f>(#REF!-#REF!)</f>
        <v>#REF!</v>
      </c>
      <c r="M286" s="3" t="e">
        <f t="shared" si="6"/>
        <v>#REF!</v>
      </c>
      <c r="N286" s="2" t="e">
        <f>IF(#REF!=#REF!,"","Start")</f>
        <v>#REF!</v>
      </c>
    </row>
    <row r="287" spans="1:14" x14ac:dyDescent="0.55000000000000004">
      <c r="A287" s="11">
        <v>45055.411226851851</v>
      </c>
      <c r="B287" s="12" t="s">
        <v>168</v>
      </c>
      <c r="C287" s="12" t="s">
        <v>0</v>
      </c>
      <c r="D287" s="12" t="s">
        <v>52</v>
      </c>
      <c r="E287" s="12" t="s">
        <v>54</v>
      </c>
      <c r="F287" s="12" t="s">
        <v>43</v>
      </c>
      <c r="G287" s="12" t="s">
        <v>1</v>
      </c>
      <c r="H287" s="12" t="s">
        <v>10</v>
      </c>
      <c r="I287" s="12" t="s">
        <v>38</v>
      </c>
      <c r="J287" s="12" t="s">
        <v>2</v>
      </c>
      <c r="L287" s="4" t="e">
        <f>(#REF!-#REF!)</f>
        <v>#REF!</v>
      </c>
      <c r="M287" s="3" t="e">
        <f t="shared" si="6"/>
        <v>#REF!</v>
      </c>
      <c r="N287" s="2" t="e">
        <f>IF(#REF!=#REF!,"","Start")</f>
        <v>#REF!</v>
      </c>
    </row>
    <row r="288" spans="1:14" x14ac:dyDescent="0.55000000000000004">
      <c r="A288" s="11">
        <v>45055.411238425928</v>
      </c>
      <c r="B288" s="12" t="s">
        <v>168</v>
      </c>
      <c r="C288" s="12" t="s">
        <v>0</v>
      </c>
      <c r="D288" s="12" t="s">
        <v>52</v>
      </c>
      <c r="E288" s="12" t="s">
        <v>53</v>
      </c>
      <c r="F288" s="12" t="s">
        <v>43</v>
      </c>
      <c r="G288" s="12" t="s">
        <v>1</v>
      </c>
      <c r="H288" s="12" t="s">
        <v>10</v>
      </c>
      <c r="I288" s="12" t="s">
        <v>38</v>
      </c>
      <c r="J288" s="12" t="s">
        <v>2</v>
      </c>
      <c r="L288" s="4" t="e">
        <f>(#REF!-#REF!)</f>
        <v>#REF!</v>
      </c>
      <c r="M288" s="3" t="e">
        <f t="shared" si="6"/>
        <v>#REF!</v>
      </c>
      <c r="N288" s="2" t="e">
        <f>IF(#REF!=#REF!,"","Start")</f>
        <v>#REF!</v>
      </c>
    </row>
    <row r="289" spans="1:14" x14ac:dyDescent="0.55000000000000004">
      <c r="A289" s="11">
        <v>45055.41128472222</v>
      </c>
      <c r="B289" s="12" t="s">
        <v>168</v>
      </c>
      <c r="C289" s="12" t="s">
        <v>0</v>
      </c>
      <c r="D289" s="12" t="s">
        <v>52</v>
      </c>
      <c r="E289" s="12" t="s">
        <v>3</v>
      </c>
      <c r="F289" s="12"/>
      <c r="G289" s="12" t="s">
        <v>1</v>
      </c>
      <c r="H289" s="12" t="s">
        <v>10</v>
      </c>
      <c r="I289" s="12" t="s">
        <v>38</v>
      </c>
      <c r="J289" s="12" t="s">
        <v>2</v>
      </c>
      <c r="L289" s="4" t="e">
        <f>(#REF!-#REF!)</f>
        <v>#REF!</v>
      </c>
      <c r="M289" s="3" t="e">
        <f t="shared" si="6"/>
        <v>#REF!</v>
      </c>
      <c r="N289" s="2" t="e">
        <f>IF(#REF!=#REF!,"","Start")</f>
        <v>#REF!</v>
      </c>
    </row>
    <row r="290" spans="1:14" x14ac:dyDescent="0.55000000000000004">
      <c r="A290" s="11">
        <v>45055.411307870374</v>
      </c>
      <c r="B290" s="12" t="s">
        <v>168</v>
      </c>
      <c r="C290" s="12" t="s">
        <v>0</v>
      </c>
      <c r="D290" s="12" t="s">
        <v>49</v>
      </c>
      <c r="E290" s="12" t="s">
        <v>113</v>
      </c>
      <c r="F290" s="12" t="s">
        <v>43</v>
      </c>
      <c r="G290" s="12" t="s">
        <v>1</v>
      </c>
      <c r="H290" s="12" t="s">
        <v>10</v>
      </c>
      <c r="I290" s="12" t="s">
        <v>38</v>
      </c>
      <c r="J290" s="12" t="s">
        <v>2</v>
      </c>
      <c r="L290" s="4" t="e">
        <f>(#REF!-#REF!)</f>
        <v>#REF!</v>
      </c>
      <c r="M290" s="3" t="e">
        <f t="shared" si="6"/>
        <v>#REF!</v>
      </c>
      <c r="N290" s="2" t="e">
        <f>IF(#REF!=#REF!,"","Start")</f>
        <v>#REF!</v>
      </c>
    </row>
    <row r="291" spans="1:14" x14ac:dyDescent="0.55000000000000004">
      <c r="A291" s="11">
        <v>45055.411319444444</v>
      </c>
      <c r="B291" s="12" t="s">
        <v>168</v>
      </c>
      <c r="C291" s="12" t="s">
        <v>0</v>
      </c>
      <c r="D291" s="12" t="s">
        <v>49</v>
      </c>
      <c r="E291" s="12" t="s">
        <v>112</v>
      </c>
      <c r="F291" s="12" t="s">
        <v>43</v>
      </c>
      <c r="G291" s="12" t="s">
        <v>1</v>
      </c>
      <c r="H291" s="12" t="s">
        <v>10</v>
      </c>
      <c r="I291" s="12" t="s">
        <v>38</v>
      </c>
      <c r="J291" s="12" t="s">
        <v>2</v>
      </c>
      <c r="L291" s="4" t="e">
        <f>(#REF!-#REF!)</f>
        <v>#REF!</v>
      </c>
      <c r="M291" s="3" t="e">
        <f t="shared" si="6"/>
        <v>#REF!</v>
      </c>
      <c r="N291" s="2" t="e">
        <f>IF(#REF!=#REF!,"","Start")</f>
        <v>#REF!</v>
      </c>
    </row>
    <row r="292" spans="1:14" x14ac:dyDescent="0.55000000000000004">
      <c r="A292" s="11">
        <v>45055.41133101852</v>
      </c>
      <c r="B292" s="12" t="s">
        <v>168</v>
      </c>
      <c r="C292" s="12" t="s">
        <v>0</v>
      </c>
      <c r="D292" s="12" t="s">
        <v>49</v>
      </c>
      <c r="E292" s="12" t="s">
        <v>3</v>
      </c>
      <c r="F292" s="12"/>
      <c r="G292" s="12" t="s">
        <v>1</v>
      </c>
      <c r="H292" s="12" t="s">
        <v>10</v>
      </c>
      <c r="I292" s="12" t="s">
        <v>38</v>
      </c>
      <c r="J292" s="12" t="s">
        <v>2</v>
      </c>
      <c r="L292" s="4" t="e">
        <f>(#REF!-#REF!)</f>
        <v>#REF!</v>
      </c>
      <c r="M292" s="3" t="e">
        <f t="shared" si="6"/>
        <v>#REF!</v>
      </c>
      <c r="N292" s="2" t="e">
        <f>IF(#REF!=#REF!,"","Start")</f>
        <v>#REF!</v>
      </c>
    </row>
    <row r="293" spans="1:14" x14ac:dyDescent="0.55000000000000004">
      <c r="A293" s="11">
        <v>45055.41134259259</v>
      </c>
      <c r="B293" s="12" t="s">
        <v>168</v>
      </c>
      <c r="C293" s="12" t="s">
        <v>0</v>
      </c>
      <c r="D293" s="12" t="s">
        <v>46</v>
      </c>
      <c r="E293" s="12" t="s">
        <v>128</v>
      </c>
      <c r="F293" s="12" t="s">
        <v>43</v>
      </c>
      <c r="G293" s="12" t="s">
        <v>1</v>
      </c>
      <c r="H293" s="12" t="s">
        <v>10</v>
      </c>
      <c r="I293" s="12" t="s">
        <v>38</v>
      </c>
      <c r="J293" s="12" t="s">
        <v>2</v>
      </c>
      <c r="L293" s="4" t="e">
        <f>(#REF!-#REF!)</f>
        <v>#REF!</v>
      </c>
      <c r="M293" s="3" t="e">
        <f t="shared" si="6"/>
        <v>#REF!</v>
      </c>
      <c r="N293" s="2" t="e">
        <f>IF(#REF!=#REF!,"","Start")</f>
        <v>#REF!</v>
      </c>
    </row>
    <row r="294" spans="1:14" x14ac:dyDescent="0.55000000000000004">
      <c r="A294" s="11">
        <v>45055.411354166667</v>
      </c>
      <c r="B294" s="12" t="s">
        <v>168</v>
      </c>
      <c r="C294" s="12" t="s">
        <v>0</v>
      </c>
      <c r="D294" s="12" t="s">
        <v>46</v>
      </c>
      <c r="E294" s="12" t="s">
        <v>127</v>
      </c>
      <c r="F294" s="12" t="s">
        <v>43</v>
      </c>
      <c r="G294" s="12" t="s">
        <v>1</v>
      </c>
      <c r="H294" s="12" t="s">
        <v>10</v>
      </c>
      <c r="I294" s="12" t="s">
        <v>38</v>
      </c>
      <c r="J294" s="12" t="s">
        <v>2</v>
      </c>
      <c r="L294" s="4" t="e">
        <f>(#REF!-#REF!)</f>
        <v>#REF!</v>
      </c>
      <c r="M294" s="3" t="e">
        <f t="shared" si="6"/>
        <v>#REF!</v>
      </c>
      <c r="N294" s="2" t="e">
        <f>IF(#REF!=#REF!,"","Start")</f>
        <v>#REF!</v>
      </c>
    </row>
    <row r="295" spans="1:14" x14ac:dyDescent="0.55000000000000004">
      <c r="A295" s="11">
        <v>45055.411365740743</v>
      </c>
      <c r="B295" s="12" t="s">
        <v>168</v>
      </c>
      <c r="C295" s="12" t="s">
        <v>0</v>
      </c>
      <c r="D295" s="12" t="s">
        <v>46</v>
      </c>
      <c r="E295" s="12" t="s">
        <v>3</v>
      </c>
      <c r="F295" s="12"/>
      <c r="G295" s="12" t="s">
        <v>1</v>
      </c>
      <c r="H295" s="12" t="s">
        <v>10</v>
      </c>
      <c r="I295" s="12" t="s">
        <v>38</v>
      </c>
      <c r="J295" s="12" t="s">
        <v>2</v>
      </c>
      <c r="L295" s="4" t="e">
        <f>(#REF!-#REF!)</f>
        <v>#REF!</v>
      </c>
      <c r="M295" s="3" t="e">
        <f t="shared" si="6"/>
        <v>#REF!</v>
      </c>
      <c r="N295" s="2" t="e">
        <f>IF(#REF!=#REF!,"","Start")</f>
        <v>#REF!</v>
      </c>
    </row>
    <row r="296" spans="1:14" x14ac:dyDescent="0.55000000000000004">
      <c r="A296" s="11">
        <v>45055.41138888889</v>
      </c>
      <c r="B296" s="12" t="s">
        <v>168</v>
      </c>
      <c r="C296" s="12" t="s">
        <v>0</v>
      </c>
      <c r="D296" s="12" t="s">
        <v>44</v>
      </c>
      <c r="E296" s="12" t="s">
        <v>45</v>
      </c>
      <c r="F296" s="12" t="s">
        <v>43</v>
      </c>
      <c r="G296" s="12" t="s">
        <v>1</v>
      </c>
      <c r="H296" s="12" t="s">
        <v>10</v>
      </c>
      <c r="I296" s="12" t="s">
        <v>38</v>
      </c>
      <c r="J296" s="12" t="s">
        <v>2</v>
      </c>
      <c r="L296" s="4" t="e">
        <f>(#REF!-#REF!)</f>
        <v>#REF!</v>
      </c>
      <c r="M296" s="3" t="e">
        <f t="shared" si="6"/>
        <v>#REF!</v>
      </c>
      <c r="N296" s="2" t="e">
        <f>IF(#REF!=#REF!,"","Start")</f>
        <v>#REF!</v>
      </c>
    </row>
    <row r="297" spans="1:14" x14ac:dyDescent="0.55000000000000004">
      <c r="A297" s="11">
        <v>45055.411400462966</v>
      </c>
      <c r="B297" s="12" t="s">
        <v>168</v>
      </c>
      <c r="C297" s="12" t="s">
        <v>0</v>
      </c>
      <c r="D297" s="12" t="s">
        <v>44</v>
      </c>
      <c r="E297" s="12" t="s">
        <v>3</v>
      </c>
      <c r="F297" s="12"/>
      <c r="G297" s="12" t="s">
        <v>1</v>
      </c>
      <c r="H297" s="12" t="s">
        <v>10</v>
      </c>
      <c r="I297" s="12" t="s">
        <v>38</v>
      </c>
      <c r="J297" s="12" t="s">
        <v>2</v>
      </c>
      <c r="L297" s="4" t="e">
        <f>(#REF!-#REF!)</f>
        <v>#REF!</v>
      </c>
      <c r="M297" s="3" t="e">
        <f t="shared" si="6"/>
        <v>#REF!</v>
      </c>
      <c r="N297" s="2" t="e">
        <f>IF(#REF!=#REF!,"","Start")</f>
        <v>#REF!</v>
      </c>
    </row>
    <row r="298" spans="1:14" x14ac:dyDescent="0.55000000000000004">
      <c r="A298" s="11">
        <v>45055.411412037036</v>
      </c>
      <c r="B298" s="12" t="s">
        <v>168</v>
      </c>
      <c r="C298" s="12" t="s">
        <v>0</v>
      </c>
      <c r="D298" s="12" t="s">
        <v>41</v>
      </c>
      <c r="E298" s="12" t="s">
        <v>110</v>
      </c>
      <c r="F298" s="12" t="s">
        <v>43</v>
      </c>
      <c r="G298" s="12" t="s">
        <v>1</v>
      </c>
      <c r="H298" s="12" t="s">
        <v>10</v>
      </c>
      <c r="I298" s="12" t="s">
        <v>38</v>
      </c>
      <c r="J298" s="12" t="s">
        <v>2</v>
      </c>
      <c r="L298" s="4" t="e">
        <f>(#REF!-#REF!)</f>
        <v>#REF!</v>
      </c>
      <c r="M298" s="3" t="e">
        <f t="shared" si="6"/>
        <v>#REF!</v>
      </c>
      <c r="N298" s="2" t="e">
        <f>IF(#REF!=#REF!,"","Start")</f>
        <v>#REF!</v>
      </c>
    </row>
    <row r="299" spans="1:14" x14ac:dyDescent="0.55000000000000004">
      <c r="A299" s="11">
        <v>45055.411423611113</v>
      </c>
      <c r="B299" s="12" t="s">
        <v>168</v>
      </c>
      <c r="C299" s="12" t="s">
        <v>0</v>
      </c>
      <c r="D299" s="12" t="s">
        <v>41</v>
      </c>
      <c r="E299" s="12" t="s">
        <v>3</v>
      </c>
      <c r="F299" s="12"/>
      <c r="G299" s="12" t="s">
        <v>1</v>
      </c>
      <c r="H299" s="12" t="s">
        <v>10</v>
      </c>
      <c r="I299" s="12" t="s">
        <v>38</v>
      </c>
      <c r="J299" s="12" t="s">
        <v>2</v>
      </c>
      <c r="L299" s="4" t="e">
        <f>(#REF!-#REF!)</f>
        <v>#REF!</v>
      </c>
      <c r="M299" s="3" t="e">
        <f t="shared" si="6"/>
        <v>#REF!</v>
      </c>
      <c r="N299" s="2" t="e">
        <f>IF(#REF!=#REF!,"","Start")</f>
        <v>#REF!</v>
      </c>
    </row>
    <row r="300" spans="1:14" x14ac:dyDescent="0.55000000000000004">
      <c r="A300" s="11">
        <v>45055.411446759259</v>
      </c>
      <c r="B300" s="12" t="s">
        <v>168</v>
      </c>
      <c r="C300" s="12" t="s">
        <v>0</v>
      </c>
      <c r="D300" s="12" t="s">
        <v>36</v>
      </c>
      <c r="E300" s="12" t="s">
        <v>37</v>
      </c>
      <c r="F300" s="12"/>
      <c r="G300" s="12" t="s">
        <v>1</v>
      </c>
      <c r="H300" s="12" t="s">
        <v>10</v>
      </c>
      <c r="I300" s="12" t="s">
        <v>38</v>
      </c>
      <c r="J300" s="12" t="s">
        <v>2</v>
      </c>
      <c r="L300" s="4" t="e">
        <f>(#REF!-#REF!)</f>
        <v>#REF!</v>
      </c>
      <c r="M300" s="3" t="e">
        <f t="shared" si="6"/>
        <v>#REF!</v>
      </c>
      <c r="N300" s="2" t="e">
        <f>IF(#REF!=#REF!,"","Start")</f>
        <v>#REF!</v>
      </c>
    </row>
    <row r="301" spans="1:14" x14ac:dyDescent="0.55000000000000004">
      <c r="A301" s="11">
        <v>45055.411469907405</v>
      </c>
      <c r="B301" s="12" t="s">
        <v>168</v>
      </c>
      <c r="C301" s="12" t="s">
        <v>0</v>
      </c>
      <c r="D301" s="12" t="s">
        <v>125</v>
      </c>
      <c r="E301" s="12" t="s">
        <v>5</v>
      </c>
      <c r="F301" s="12"/>
      <c r="G301" s="12" t="s">
        <v>1</v>
      </c>
      <c r="H301" s="12" t="s">
        <v>10</v>
      </c>
      <c r="I301" s="12" t="s">
        <v>38</v>
      </c>
      <c r="J301" s="12" t="s">
        <v>2</v>
      </c>
      <c r="L301" s="4" t="e">
        <f>(#REF!-#REF!)</f>
        <v>#REF!</v>
      </c>
      <c r="M301" s="3" t="e">
        <f t="shared" si="6"/>
        <v>#REF!</v>
      </c>
      <c r="N301" s="2" t="e">
        <f>IF(#REF!=#REF!,"","Start")</f>
        <v>#REF!</v>
      </c>
    </row>
    <row r="302" spans="1:14" x14ac:dyDescent="0.55000000000000004">
      <c r="A302" s="11">
        <v>45055.411597222221</v>
      </c>
      <c r="B302" s="12" t="s">
        <v>168</v>
      </c>
      <c r="C302" s="12" t="s">
        <v>0</v>
      </c>
      <c r="D302" s="12" t="s">
        <v>34</v>
      </c>
      <c r="E302" s="12" t="s">
        <v>5</v>
      </c>
      <c r="F302" s="12"/>
      <c r="G302" s="12" t="s">
        <v>1</v>
      </c>
      <c r="H302" s="12" t="s">
        <v>10</v>
      </c>
      <c r="I302" s="12" t="s">
        <v>38</v>
      </c>
      <c r="J302" s="12" t="s">
        <v>2</v>
      </c>
      <c r="L302" s="4" t="e">
        <f>(#REF!-#REF!)</f>
        <v>#REF!</v>
      </c>
      <c r="M302" s="3" t="e">
        <f t="shared" si="6"/>
        <v>#REF!</v>
      </c>
      <c r="N302" s="2" t="e">
        <f>IF(#REF!=#REF!,"","Start")</f>
        <v>#REF!</v>
      </c>
    </row>
    <row r="303" spans="1:14" x14ac:dyDescent="0.55000000000000004">
      <c r="A303" s="11">
        <v>45055.411620370367</v>
      </c>
      <c r="B303" s="12" t="s">
        <v>168</v>
      </c>
      <c r="C303" s="12" t="s">
        <v>0</v>
      </c>
      <c r="D303" s="12" t="s">
        <v>33</v>
      </c>
      <c r="E303" s="12" t="s">
        <v>4</v>
      </c>
      <c r="F303" s="12"/>
      <c r="G303" s="12" t="s">
        <v>1</v>
      </c>
      <c r="H303" s="12" t="s">
        <v>10</v>
      </c>
      <c r="I303" s="12" t="s">
        <v>38</v>
      </c>
      <c r="J303" s="12" t="s">
        <v>2</v>
      </c>
      <c r="L303" s="4" t="e">
        <f>(#REF!-#REF!)</f>
        <v>#REF!</v>
      </c>
      <c r="M303" s="3" t="e">
        <f t="shared" si="6"/>
        <v>#REF!</v>
      </c>
      <c r="N303" s="2" t="e">
        <f>IF(#REF!=#REF!,"","Start")</f>
        <v>#REF!</v>
      </c>
    </row>
    <row r="304" spans="1:14" x14ac:dyDescent="0.55000000000000004">
      <c r="A304" s="11">
        <v>45055.411643518521</v>
      </c>
      <c r="B304" s="12" t="s">
        <v>168</v>
      </c>
      <c r="C304" s="12" t="s">
        <v>0</v>
      </c>
      <c r="D304" s="12" t="s">
        <v>32</v>
      </c>
      <c r="E304" s="12" t="s">
        <v>185</v>
      </c>
      <c r="F304" s="12"/>
      <c r="G304" s="12" t="s">
        <v>1</v>
      </c>
      <c r="H304" s="12" t="s">
        <v>10</v>
      </c>
      <c r="I304" s="12" t="s">
        <v>38</v>
      </c>
      <c r="J304" s="12" t="s">
        <v>2</v>
      </c>
      <c r="L304" s="4" t="e">
        <f>(#REF!-#REF!)</f>
        <v>#REF!</v>
      </c>
      <c r="M304" s="3" t="e">
        <f t="shared" si="6"/>
        <v>#REF!</v>
      </c>
      <c r="N304" s="2" t="e">
        <f>IF(#REF!=#REF!,"","Start")</f>
        <v>#REF!</v>
      </c>
    </row>
    <row r="305" spans="1:14" x14ac:dyDescent="0.55000000000000004">
      <c r="A305" s="11">
        <v>45055.41165509259</v>
      </c>
      <c r="B305" s="12" t="s">
        <v>168</v>
      </c>
      <c r="C305" s="12" t="s">
        <v>0</v>
      </c>
      <c r="D305" s="12" t="s">
        <v>32</v>
      </c>
      <c r="E305" s="12" t="s">
        <v>3</v>
      </c>
      <c r="F305" s="12"/>
      <c r="G305" s="12" t="s">
        <v>1</v>
      </c>
      <c r="H305" s="12" t="s">
        <v>10</v>
      </c>
      <c r="I305" s="12" t="s">
        <v>38</v>
      </c>
      <c r="J305" s="12" t="s">
        <v>2</v>
      </c>
      <c r="L305" s="4" t="e">
        <f>(#REF!-#REF!)</f>
        <v>#REF!</v>
      </c>
      <c r="M305" s="3" t="e">
        <f t="shared" si="6"/>
        <v>#REF!</v>
      </c>
      <c r="N305" s="2" t="e">
        <f>IF(#REF!=#REF!,"","Start")</f>
        <v>#REF!</v>
      </c>
    </row>
    <row r="306" spans="1:14" x14ac:dyDescent="0.55000000000000004">
      <c r="A306" s="11">
        <v>45055.411666666667</v>
      </c>
      <c r="B306" s="12" t="s">
        <v>168</v>
      </c>
      <c r="C306" s="12" t="s">
        <v>0</v>
      </c>
      <c r="D306" s="12" t="s">
        <v>31</v>
      </c>
      <c r="E306" s="12" t="s">
        <v>9</v>
      </c>
      <c r="F306" s="12"/>
      <c r="G306" s="12" t="s">
        <v>1</v>
      </c>
      <c r="H306" s="12" t="s">
        <v>10</v>
      </c>
      <c r="I306" s="12" t="s">
        <v>38</v>
      </c>
      <c r="J306" s="12" t="s">
        <v>2</v>
      </c>
      <c r="L306" s="4" t="e">
        <f>(#REF!-#REF!)</f>
        <v>#REF!</v>
      </c>
      <c r="M306" s="3" t="e">
        <f t="shared" si="6"/>
        <v>#REF!</v>
      </c>
      <c r="N306" s="2" t="e">
        <f>IF(#REF!=#REF!,"","Start")</f>
        <v>#REF!</v>
      </c>
    </row>
    <row r="307" spans="1:14" x14ac:dyDescent="0.55000000000000004">
      <c r="A307" s="11">
        <v>45055.411678240744</v>
      </c>
      <c r="B307" s="12" t="s">
        <v>168</v>
      </c>
      <c r="C307" s="12" t="s">
        <v>0</v>
      </c>
      <c r="D307" s="12" t="s">
        <v>31</v>
      </c>
      <c r="E307" s="12" t="s">
        <v>3</v>
      </c>
      <c r="F307" s="12"/>
      <c r="G307" s="12" t="s">
        <v>1</v>
      </c>
      <c r="H307" s="12" t="s">
        <v>10</v>
      </c>
      <c r="I307" s="12" t="s">
        <v>38</v>
      </c>
      <c r="J307" s="12" t="s">
        <v>2</v>
      </c>
      <c r="L307" s="4" t="e">
        <f>(#REF!-#REF!)</f>
        <v>#REF!</v>
      </c>
      <c r="M307" s="3" t="e">
        <f t="shared" si="6"/>
        <v>#REF!</v>
      </c>
      <c r="N307" s="2" t="e">
        <f>IF(#REF!=#REF!,"","Start")</f>
        <v>#REF!</v>
      </c>
    </row>
    <row r="308" spans="1:14" x14ac:dyDescent="0.55000000000000004">
      <c r="A308" s="11">
        <v>45055.41170138889</v>
      </c>
      <c r="B308" s="12" t="s">
        <v>168</v>
      </c>
      <c r="C308" s="12" t="s">
        <v>0</v>
      </c>
      <c r="D308" s="12" t="s">
        <v>30</v>
      </c>
      <c r="E308" s="12" t="s">
        <v>3</v>
      </c>
      <c r="F308" s="12"/>
      <c r="G308" s="12" t="s">
        <v>1</v>
      </c>
      <c r="H308" s="12" t="s">
        <v>10</v>
      </c>
      <c r="I308" s="12" t="s">
        <v>38</v>
      </c>
      <c r="J308" s="12" t="s">
        <v>2</v>
      </c>
      <c r="L308" s="4" t="e">
        <f>(#REF!-#REF!)</f>
        <v>#REF!</v>
      </c>
      <c r="M308" s="3" t="e">
        <f t="shared" si="6"/>
        <v>#REF!</v>
      </c>
      <c r="N308" s="2" t="e">
        <f>IF(#REF!=#REF!,"","Start")</f>
        <v>#REF!</v>
      </c>
    </row>
    <row r="309" spans="1:14" x14ac:dyDescent="0.55000000000000004">
      <c r="A309" s="11">
        <v>45055.41170138889</v>
      </c>
      <c r="B309" s="12" t="s">
        <v>168</v>
      </c>
      <c r="C309" s="12" t="s">
        <v>0</v>
      </c>
      <c r="D309" s="12" t="s">
        <v>30</v>
      </c>
      <c r="E309" s="12" t="s">
        <v>184</v>
      </c>
      <c r="F309" s="12"/>
      <c r="G309" s="12" t="s">
        <v>1</v>
      </c>
      <c r="H309" s="12" t="s">
        <v>10</v>
      </c>
      <c r="I309" s="12" t="s">
        <v>38</v>
      </c>
      <c r="J309" s="12" t="s">
        <v>2</v>
      </c>
      <c r="L309" s="4" t="e">
        <f>(#REF!-#REF!)</f>
        <v>#REF!</v>
      </c>
      <c r="M309" s="3" t="e">
        <f t="shared" si="6"/>
        <v>#REF!</v>
      </c>
      <c r="N309" s="2" t="e">
        <f>IF(#REF!=#REF!,"","Start")</f>
        <v>#REF!</v>
      </c>
    </row>
    <row r="310" spans="1:14" x14ac:dyDescent="0.55000000000000004">
      <c r="A310" s="11">
        <v>45055.411747685182</v>
      </c>
      <c r="B310" s="12" t="s">
        <v>168</v>
      </c>
      <c r="C310" s="12" t="s">
        <v>0</v>
      </c>
      <c r="D310" s="12" t="s">
        <v>29</v>
      </c>
      <c r="E310" s="12" t="s">
        <v>3</v>
      </c>
      <c r="F310" s="12"/>
      <c r="G310" s="12" t="s">
        <v>1</v>
      </c>
      <c r="H310" s="12" t="s">
        <v>10</v>
      </c>
      <c r="I310" s="12" t="s">
        <v>38</v>
      </c>
      <c r="J310" s="12" t="s">
        <v>2</v>
      </c>
      <c r="L310" s="4" t="e">
        <f>(#REF!-#REF!)</f>
        <v>#REF!</v>
      </c>
      <c r="M310" s="3" t="e">
        <f t="shared" si="6"/>
        <v>#REF!</v>
      </c>
      <c r="N310" s="2" t="e">
        <f>IF(#REF!=#REF!,"","Start")</f>
        <v>#REF!</v>
      </c>
    </row>
    <row r="311" spans="1:14" x14ac:dyDescent="0.55000000000000004">
      <c r="A311" s="11">
        <v>45055.411747685182</v>
      </c>
      <c r="B311" s="12" t="s">
        <v>168</v>
      </c>
      <c r="C311" s="12" t="s">
        <v>12</v>
      </c>
      <c r="D311" s="12" t="s">
        <v>29</v>
      </c>
      <c r="E311" s="12" t="s">
        <v>13</v>
      </c>
      <c r="F311" s="12" t="s">
        <v>126</v>
      </c>
      <c r="G311" s="12" t="s">
        <v>1</v>
      </c>
      <c r="H311" s="12" t="s">
        <v>10</v>
      </c>
      <c r="I311" s="12" t="s">
        <v>38</v>
      </c>
      <c r="J311" s="12" t="s">
        <v>2</v>
      </c>
      <c r="L311" s="4" t="e">
        <f>(#REF!-#REF!)</f>
        <v>#REF!</v>
      </c>
      <c r="M311" s="3" t="e">
        <f t="shared" si="6"/>
        <v>#REF!</v>
      </c>
      <c r="N311" s="2" t="e">
        <f>IF(#REF!=#REF!,"","Start")</f>
        <v>#REF!</v>
      </c>
    </row>
    <row r="312" spans="1:14" x14ac:dyDescent="0.55000000000000004">
      <c r="A312" s="11">
        <v>45055.411770833336</v>
      </c>
      <c r="B312" s="12" t="s">
        <v>168</v>
      </c>
      <c r="C312" s="12" t="s">
        <v>0</v>
      </c>
      <c r="D312" s="12" t="s">
        <v>28</v>
      </c>
      <c r="E312" s="12" t="s">
        <v>99</v>
      </c>
      <c r="F312" s="12"/>
      <c r="G312" s="12" t="s">
        <v>1</v>
      </c>
      <c r="H312" s="12" t="s">
        <v>10</v>
      </c>
      <c r="I312" s="12" t="s">
        <v>38</v>
      </c>
      <c r="J312" s="12" t="s">
        <v>2</v>
      </c>
      <c r="L312" s="4" t="e">
        <f>(#REF!-#REF!)</f>
        <v>#REF!</v>
      </c>
      <c r="M312" s="3" t="e">
        <f t="shared" si="6"/>
        <v>#REF!</v>
      </c>
      <c r="N312" s="2" t="e">
        <f>IF(#REF!=#REF!,"","Start")</f>
        <v>#REF!</v>
      </c>
    </row>
    <row r="313" spans="1:14" x14ac:dyDescent="0.55000000000000004">
      <c r="A313" s="11">
        <v>45055.411782407406</v>
      </c>
      <c r="B313" s="12" t="s">
        <v>168</v>
      </c>
      <c r="C313" s="12" t="s">
        <v>0</v>
      </c>
      <c r="D313" s="12" t="s">
        <v>28</v>
      </c>
      <c r="E313" s="12" t="s">
        <v>3</v>
      </c>
      <c r="F313" s="12"/>
      <c r="G313" s="12" t="s">
        <v>1</v>
      </c>
      <c r="H313" s="12" t="s">
        <v>10</v>
      </c>
      <c r="I313" s="12" t="s">
        <v>38</v>
      </c>
      <c r="J313" s="12" t="s">
        <v>2</v>
      </c>
      <c r="L313" s="4" t="e">
        <f>(#REF!-#REF!)</f>
        <v>#REF!</v>
      </c>
      <c r="M313" s="3" t="e">
        <f t="shared" si="6"/>
        <v>#REF!</v>
      </c>
      <c r="N313" s="2" t="e">
        <f>IF(#REF!=#REF!,"","Start")</f>
        <v>#REF!</v>
      </c>
    </row>
    <row r="314" spans="1:14" x14ac:dyDescent="0.55000000000000004">
      <c r="A314" s="11">
        <v>45055.411805555559</v>
      </c>
      <c r="B314" s="12" t="s">
        <v>168</v>
      </c>
      <c r="C314" s="12" t="s">
        <v>0</v>
      </c>
      <c r="D314" s="12" t="s">
        <v>97</v>
      </c>
      <c r="E314" s="12" t="s">
        <v>98</v>
      </c>
      <c r="F314" s="12"/>
      <c r="G314" s="12" t="s">
        <v>1</v>
      </c>
      <c r="H314" s="12" t="s">
        <v>10</v>
      </c>
      <c r="I314" s="12" t="s">
        <v>38</v>
      </c>
      <c r="J314" s="12" t="s">
        <v>2</v>
      </c>
      <c r="L314" s="4" t="e">
        <f>(#REF!-#REF!)</f>
        <v>#REF!</v>
      </c>
      <c r="M314" s="3" t="e">
        <f t="shared" si="6"/>
        <v>#REF!</v>
      </c>
      <c r="N314" s="2" t="e">
        <f>IF(#REF!=#REF!,"","Start")</f>
        <v>#REF!</v>
      </c>
    </row>
    <row r="315" spans="1:14" x14ac:dyDescent="0.55000000000000004">
      <c r="A315" s="11">
        <v>45055.411817129629</v>
      </c>
      <c r="B315" s="12" t="s">
        <v>168</v>
      </c>
      <c r="C315" s="12" t="s">
        <v>0</v>
      </c>
      <c r="D315" s="12" t="s">
        <v>97</v>
      </c>
      <c r="E315" s="12" t="s">
        <v>3</v>
      </c>
      <c r="F315" s="12"/>
      <c r="G315" s="12" t="s">
        <v>1</v>
      </c>
      <c r="H315" s="12" t="s">
        <v>10</v>
      </c>
      <c r="I315" s="12" t="s">
        <v>38</v>
      </c>
      <c r="J315" s="12" t="s">
        <v>2</v>
      </c>
      <c r="L315" s="4" t="e">
        <f>(#REF!-#REF!)</f>
        <v>#REF!</v>
      </c>
      <c r="M315" s="3" t="e">
        <f t="shared" si="6"/>
        <v>#REF!</v>
      </c>
      <c r="N315" s="2" t="e">
        <f>IF(#REF!=#REF!,"","Start")</f>
        <v>#REF!</v>
      </c>
    </row>
    <row r="316" spans="1:14" x14ac:dyDescent="0.55000000000000004">
      <c r="A316" s="11">
        <v>45055.411840277775</v>
      </c>
      <c r="B316" s="12" t="s">
        <v>168</v>
      </c>
      <c r="C316" s="12" t="s">
        <v>0</v>
      </c>
      <c r="D316" s="12" t="s">
        <v>95</v>
      </c>
      <c r="E316" s="12" t="s">
        <v>183</v>
      </c>
      <c r="F316" s="12"/>
      <c r="G316" s="12" t="s">
        <v>1</v>
      </c>
      <c r="H316" s="12" t="s">
        <v>10</v>
      </c>
      <c r="I316" s="12" t="s">
        <v>38</v>
      </c>
      <c r="J316" s="12" t="s">
        <v>2</v>
      </c>
      <c r="L316" s="4" t="e">
        <f>(#REF!-#REF!)</f>
        <v>#REF!</v>
      </c>
      <c r="M316" s="3" t="e">
        <f t="shared" si="6"/>
        <v>#REF!</v>
      </c>
      <c r="N316" s="2" t="e">
        <f>IF(#REF!=#REF!,"","Start")</f>
        <v>#REF!</v>
      </c>
    </row>
    <row r="317" spans="1:14" x14ac:dyDescent="0.55000000000000004">
      <c r="A317" s="11">
        <v>45055.411851851852</v>
      </c>
      <c r="B317" s="12" t="s">
        <v>168</v>
      </c>
      <c r="C317" s="12" t="s">
        <v>0</v>
      </c>
      <c r="D317" s="12" t="s">
        <v>95</v>
      </c>
      <c r="E317" s="12" t="s">
        <v>3</v>
      </c>
      <c r="F317" s="12"/>
      <c r="G317" s="12" t="s">
        <v>1</v>
      </c>
      <c r="H317" s="12" t="s">
        <v>10</v>
      </c>
      <c r="I317" s="12" t="s">
        <v>38</v>
      </c>
      <c r="J317" s="12" t="s">
        <v>2</v>
      </c>
      <c r="L317" s="4" t="e">
        <f>(#REF!-#REF!)</f>
        <v>#REF!</v>
      </c>
      <c r="M317" s="3" t="e">
        <f t="shared" si="6"/>
        <v>#REF!</v>
      </c>
      <c r="N317" s="2" t="e">
        <f>IF(#REF!=#REF!,"","Start")</f>
        <v>#REF!</v>
      </c>
    </row>
    <row r="318" spans="1:14" x14ac:dyDescent="0.55000000000000004">
      <c r="A318" s="11">
        <v>45055.411886574075</v>
      </c>
      <c r="B318" s="12" t="s">
        <v>168</v>
      </c>
      <c r="C318" s="12" t="s">
        <v>0</v>
      </c>
      <c r="D318" s="12" t="s">
        <v>125</v>
      </c>
      <c r="E318" s="12" t="s">
        <v>5</v>
      </c>
      <c r="F318" s="12"/>
      <c r="G318" s="12" t="s">
        <v>1</v>
      </c>
      <c r="H318" s="12" t="s">
        <v>10</v>
      </c>
      <c r="I318" s="12" t="s">
        <v>38</v>
      </c>
      <c r="J318" s="12" t="s">
        <v>2</v>
      </c>
      <c r="L318" s="4" t="e">
        <f>(#REF!-#REF!)</f>
        <v>#REF!</v>
      </c>
      <c r="M318" s="3" t="e">
        <f t="shared" si="6"/>
        <v>#REF!</v>
      </c>
      <c r="N318" s="2" t="e">
        <f>IF(#REF!=#REF!,"","Start")</f>
        <v>#REF!</v>
      </c>
    </row>
    <row r="319" spans="1:14" x14ac:dyDescent="0.55000000000000004">
      <c r="A319" s="11">
        <v>45055.411956018521</v>
      </c>
      <c r="B319" s="12" t="s">
        <v>168</v>
      </c>
      <c r="C319" s="12" t="s">
        <v>0</v>
      </c>
      <c r="D319" s="12" t="s">
        <v>34</v>
      </c>
      <c r="E319" s="12" t="s">
        <v>5</v>
      </c>
      <c r="F319" s="12"/>
      <c r="G319" s="12" t="s">
        <v>1</v>
      </c>
      <c r="H319" s="12" t="s">
        <v>10</v>
      </c>
      <c r="I319" s="12" t="s">
        <v>38</v>
      </c>
      <c r="J319" s="12" t="s">
        <v>2</v>
      </c>
      <c r="L319" s="4" t="e">
        <f>(#REF!-#REF!)</f>
        <v>#REF!</v>
      </c>
      <c r="M319" s="3" t="e">
        <f t="shared" si="6"/>
        <v>#REF!</v>
      </c>
      <c r="N319" s="2" t="e">
        <f>IF(#REF!=#REF!,"","Start")</f>
        <v>#REF!</v>
      </c>
    </row>
    <row r="320" spans="1:14" x14ac:dyDescent="0.55000000000000004">
      <c r="A320" s="11">
        <v>45055.411990740744</v>
      </c>
      <c r="B320" s="12" t="s">
        <v>168</v>
      </c>
      <c r="C320" s="12" t="s">
        <v>0</v>
      </c>
      <c r="D320" s="12" t="s">
        <v>33</v>
      </c>
      <c r="E320" s="12" t="s">
        <v>4</v>
      </c>
      <c r="F320" s="12"/>
      <c r="G320" s="12" t="s">
        <v>1</v>
      </c>
      <c r="H320" s="12" t="s">
        <v>10</v>
      </c>
      <c r="I320" s="12" t="s">
        <v>38</v>
      </c>
      <c r="J320" s="12" t="s">
        <v>2</v>
      </c>
      <c r="L320" s="4" t="e">
        <f>(#REF!-#REF!)</f>
        <v>#REF!</v>
      </c>
      <c r="M320" s="3" t="e">
        <f t="shared" si="6"/>
        <v>#REF!</v>
      </c>
      <c r="N320" s="2" t="e">
        <f>IF(#REF!=#REF!,"","Start")</f>
        <v>#REF!</v>
      </c>
    </row>
    <row r="321" spans="1:14" x14ac:dyDescent="0.55000000000000004">
      <c r="A321" s="11">
        <v>45055.41201388889</v>
      </c>
      <c r="B321" s="12" t="s">
        <v>168</v>
      </c>
      <c r="C321" s="12" t="s">
        <v>0</v>
      </c>
      <c r="D321" s="12" t="s">
        <v>32</v>
      </c>
      <c r="E321" s="12" t="s">
        <v>138</v>
      </c>
      <c r="F321" s="12"/>
      <c r="G321" s="12" t="s">
        <v>1</v>
      </c>
      <c r="H321" s="12" t="s">
        <v>10</v>
      </c>
      <c r="I321" s="12" t="s">
        <v>38</v>
      </c>
      <c r="J321" s="12" t="s">
        <v>2</v>
      </c>
      <c r="L321" s="4" t="e">
        <f>(#REF!-#REF!)</f>
        <v>#REF!</v>
      </c>
      <c r="M321" s="3" t="e">
        <f t="shared" si="6"/>
        <v>#REF!</v>
      </c>
      <c r="N321" s="2" t="e">
        <f>IF(#REF!=#REF!,"","Start")</f>
        <v>#REF!</v>
      </c>
    </row>
    <row r="322" spans="1:14" x14ac:dyDescent="0.55000000000000004">
      <c r="A322" s="11">
        <v>45055.41201388889</v>
      </c>
      <c r="B322" s="12" t="s">
        <v>168</v>
      </c>
      <c r="C322" s="12" t="s">
        <v>0</v>
      </c>
      <c r="D322" s="12" t="s">
        <v>32</v>
      </c>
      <c r="E322" s="12" t="s">
        <v>7</v>
      </c>
      <c r="F322" s="12"/>
      <c r="G322" s="12" t="s">
        <v>1</v>
      </c>
      <c r="H322" s="12" t="s">
        <v>10</v>
      </c>
      <c r="I322" s="12" t="s">
        <v>38</v>
      </c>
      <c r="J322" s="12" t="s">
        <v>2</v>
      </c>
      <c r="L322" s="4" t="e">
        <f>(#REF!-#REF!)</f>
        <v>#REF!</v>
      </c>
      <c r="M322" s="3" t="e">
        <f t="shared" si="6"/>
        <v>#REF!</v>
      </c>
      <c r="N322" s="2" t="e">
        <f>IF(#REF!=#REF!,"","Start")</f>
        <v>#REF!</v>
      </c>
    </row>
    <row r="323" spans="1:14" x14ac:dyDescent="0.55000000000000004">
      <c r="A323" s="11">
        <v>45055.41202546296</v>
      </c>
      <c r="B323" s="12" t="s">
        <v>168</v>
      </c>
      <c r="C323" s="12" t="s">
        <v>0</v>
      </c>
      <c r="D323" s="12" t="s">
        <v>32</v>
      </c>
      <c r="E323" s="12" t="s">
        <v>3</v>
      </c>
      <c r="F323" s="12"/>
      <c r="G323" s="12" t="s">
        <v>1</v>
      </c>
      <c r="H323" s="12" t="s">
        <v>10</v>
      </c>
      <c r="I323" s="12" t="s">
        <v>38</v>
      </c>
      <c r="J323" s="12" t="s">
        <v>2</v>
      </c>
      <c r="L323" s="4" t="e">
        <f>(#REF!-#REF!)</f>
        <v>#REF!</v>
      </c>
      <c r="M323" s="3" t="e">
        <f t="shared" si="6"/>
        <v>#REF!</v>
      </c>
      <c r="N323" s="2" t="e">
        <f>IF(#REF!=#REF!,"","Start")</f>
        <v>#REF!</v>
      </c>
    </row>
    <row r="324" spans="1:14" x14ac:dyDescent="0.55000000000000004">
      <c r="A324" s="11">
        <v>45055.412048611113</v>
      </c>
      <c r="B324" s="12" t="s">
        <v>168</v>
      </c>
      <c r="C324" s="12" t="s">
        <v>0</v>
      </c>
      <c r="D324" s="12" t="s">
        <v>31</v>
      </c>
      <c r="E324" s="12" t="s">
        <v>3</v>
      </c>
      <c r="F324" s="12"/>
      <c r="G324" s="12" t="s">
        <v>1</v>
      </c>
      <c r="H324" s="12" t="s">
        <v>10</v>
      </c>
      <c r="I324" s="12" t="s">
        <v>38</v>
      </c>
      <c r="J324" s="12" t="s">
        <v>2</v>
      </c>
      <c r="L324" s="4" t="e">
        <f>(#REF!-#REF!)</f>
        <v>#REF!</v>
      </c>
      <c r="M324" s="3" t="e">
        <f t="shared" ref="M324:M387" si="7">IF(AND(L324&gt;0, L324&lt;0.0207),L324/Q$1,0)</f>
        <v>#REF!</v>
      </c>
      <c r="N324" s="2" t="e">
        <f>IF(#REF!=#REF!,"","Start")</f>
        <v>#REF!</v>
      </c>
    </row>
    <row r="325" spans="1:14" x14ac:dyDescent="0.55000000000000004">
      <c r="A325" s="11">
        <v>45055.412048611113</v>
      </c>
      <c r="B325" s="12" t="s">
        <v>168</v>
      </c>
      <c r="C325" s="12" t="s">
        <v>0</v>
      </c>
      <c r="D325" s="12" t="s">
        <v>31</v>
      </c>
      <c r="E325" s="12" t="s">
        <v>6</v>
      </c>
      <c r="F325" s="12"/>
      <c r="G325" s="12" t="s">
        <v>1</v>
      </c>
      <c r="H325" s="12" t="s">
        <v>10</v>
      </c>
      <c r="I325" s="12" t="s">
        <v>38</v>
      </c>
      <c r="J325" s="12" t="s">
        <v>2</v>
      </c>
      <c r="L325" s="4" t="e">
        <f>(#REF!-#REF!)</f>
        <v>#REF!</v>
      </c>
      <c r="M325" s="3" t="e">
        <f t="shared" si="7"/>
        <v>#REF!</v>
      </c>
      <c r="N325" s="2" t="e">
        <f>IF(#REF!=#REF!,"","Start")</f>
        <v>#REF!</v>
      </c>
    </row>
    <row r="326" spans="1:14" x14ac:dyDescent="0.55000000000000004">
      <c r="A326" s="11">
        <v>45055.41207175926</v>
      </c>
      <c r="B326" s="12" t="s">
        <v>168</v>
      </c>
      <c r="C326" s="12" t="s">
        <v>0</v>
      </c>
      <c r="D326" s="12" t="s">
        <v>30</v>
      </c>
      <c r="E326" s="12" t="s">
        <v>101</v>
      </c>
      <c r="F326" s="12"/>
      <c r="G326" s="12" t="s">
        <v>1</v>
      </c>
      <c r="H326" s="12" t="s">
        <v>10</v>
      </c>
      <c r="I326" s="12" t="s">
        <v>38</v>
      </c>
      <c r="J326" s="12" t="s">
        <v>2</v>
      </c>
      <c r="L326" s="4" t="e">
        <f>(#REF!-#REF!)</f>
        <v>#REF!</v>
      </c>
      <c r="M326" s="3" t="e">
        <f t="shared" si="7"/>
        <v>#REF!</v>
      </c>
      <c r="N326" s="2" t="e">
        <f>IF(#REF!=#REF!,"","Start")</f>
        <v>#REF!</v>
      </c>
    </row>
    <row r="327" spans="1:14" x14ac:dyDescent="0.55000000000000004">
      <c r="A327" s="11">
        <v>45055.412083333336</v>
      </c>
      <c r="B327" s="12" t="s">
        <v>168</v>
      </c>
      <c r="C327" s="12" t="s">
        <v>0</v>
      </c>
      <c r="D327" s="12" t="s">
        <v>30</v>
      </c>
      <c r="E327" s="12" t="s">
        <v>3</v>
      </c>
      <c r="F327" s="12"/>
      <c r="G327" s="12" t="s">
        <v>1</v>
      </c>
      <c r="H327" s="12" t="s">
        <v>10</v>
      </c>
      <c r="I327" s="12" t="s">
        <v>38</v>
      </c>
      <c r="J327" s="12" t="s">
        <v>2</v>
      </c>
      <c r="L327" s="4" t="e">
        <f>(#REF!-#REF!)</f>
        <v>#REF!</v>
      </c>
      <c r="M327" s="3" t="e">
        <f t="shared" si="7"/>
        <v>#REF!</v>
      </c>
      <c r="N327" s="2" t="e">
        <f>IF(#REF!=#REF!,"","Start")</f>
        <v>#REF!</v>
      </c>
    </row>
    <row r="328" spans="1:14" x14ac:dyDescent="0.55000000000000004">
      <c r="A328" s="11">
        <v>45055.412129629629</v>
      </c>
      <c r="B328" s="12" t="s">
        <v>168</v>
      </c>
      <c r="C328" s="12" t="s">
        <v>0</v>
      </c>
      <c r="D328" s="12" t="s">
        <v>29</v>
      </c>
      <c r="E328" s="12" t="s">
        <v>3</v>
      </c>
      <c r="F328" s="12"/>
      <c r="G328" s="12" t="s">
        <v>1</v>
      </c>
      <c r="H328" s="12" t="s">
        <v>10</v>
      </c>
      <c r="I328" s="12" t="s">
        <v>38</v>
      </c>
      <c r="J328" s="12" t="s">
        <v>2</v>
      </c>
      <c r="L328" s="4" t="e">
        <f>(#REF!-#REF!)</f>
        <v>#REF!</v>
      </c>
      <c r="M328" s="3" t="e">
        <f t="shared" si="7"/>
        <v>#REF!</v>
      </c>
      <c r="N328" s="2" t="e">
        <f>IF(#REF!=#REF!,"","Start")</f>
        <v>#REF!</v>
      </c>
    </row>
    <row r="329" spans="1:14" x14ac:dyDescent="0.55000000000000004">
      <c r="A329" s="11">
        <v>45055.412129629629</v>
      </c>
      <c r="B329" s="12" t="s">
        <v>168</v>
      </c>
      <c r="C329" s="12" t="s">
        <v>12</v>
      </c>
      <c r="D329" s="12" t="s">
        <v>29</v>
      </c>
      <c r="E329" s="12" t="s">
        <v>13</v>
      </c>
      <c r="F329" s="12" t="s">
        <v>126</v>
      </c>
      <c r="G329" s="12" t="s">
        <v>1</v>
      </c>
      <c r="H329" s="12" t="s">
        <v>10</v>
      </c>
      <c r="I329" s="12" t="s">
        <v>38</v>
      </c>
      <c r="J329" s="12" t="s">
        <v>2</v>
      </c>
      <c r="L329" s="4" t="e">
        <f>(#REF!-#REF!)</f>
        <v>#REF!</v>
      </c>
      <c r="M329" s="3" t="e">
        <f t="shared" si="7"/>
        <v>#REF!</v>
      </c>
      <c r="N329" s="2" t="e">
        <f>IF(#REF!=#REF!,"","Start")</f>
        <v>#REF!</v>
      </c>
    </row>
    <row r="330" spans="1:14" x14ac:dyDescent="0.55000000000000004">
      <c r="A330" s="11">
        <v>45055.412152777775</v>
      </c>
      <c r="B330" s="12" t="s">
        <v>168</v>
      </c>
      <c r="C330" s="12" t="s">
        <v>0</v>
      </c>
      <c r="D330" s="12" t="s">
        <v>28</v>
      </c>
      <c r="E330" s="12" t="s">
        <v>3</v>
      </c>
      <c r="F330" s="12"/>
      <c r="G330" s="12" t="s">
        <v>1</v>
      </c>
      <c r="H330" s="12" t="s">
        <v>10</v>
      </c>
      <c r="I330" s="12" t="s">
        <v>38</v>
      </c>
      <c r="J330" s="12" t="s">
        <v>2</v>
      </c>
      <c r="L330" s="4" t="e">
        <f>(#REF!-#REF!)</f>
        <v>#REF!</v>
      </c>
      <c r="M330" s="3" t="e">
        <f t="shared" si="7"/>
        <v>#REF!</v>
      </c>
      <c r="N330" s="2" t="e">
        <f>IF(#REF!=#REF!,"","Start")</f>
        <v>#REF!</v>
      </c>
    </row>
    <row r="331" spans="1:14" x14ac:dyDescent="0.55000000000000004">
      <c r="A331" s="11">
        <v>45055.412152777775</v>
      </c>
      <c r="B331" s="12" t="s">
        <v>168</v>
      </c>
      <c r="C331" s="12" t="s">
        <v>0</v>
      </c>
      <c r="D331" s="12" t="s">
        <v>28</v>
      </c>
      <c r="E331" s="12" t="s">
        <v>99</v>
      </c>
      <c r="F331" s="12"/>
      <c r="G331" s="12" t="s">
        <v>1</v>
      </c>
      <c r="H331" s="12" t="s">
        <v>10</v>
      </c>
      <c r="I331" s="12" t="s">
        <v>38</v>
      </c>
      <c r="J331" s="12" t="s">
        <v>2</v>
      </c>
      <c r="L331" s="4" t="e">
        <f>(#REF!-#REF!)</f>
        <v>#REF!</v>
      </c>
      <c r="M331" s="3" t="e">
        <f t="shared" si="7"/>
        <v>#REF!</v>
      </c>
      <c r="N331" s="2" t="e">
        <f>IF(#REF!=#REF!,"","Start")</f>
        <v>#REF!</v>
      </c>
    </row>
    <row r="332" spans="1:14" x14ac:dyDescent="0.55000000000000004">
      <c r="A332" s="11">
        <v>45055.412175925929</v>
      </c>
      <c r="B332" s="12" t="s">
        <v>168</v>
      </c>
      <c r="C332" s="12" t="s">
        <v>0</v>
      </c>
      <c r="D332" s="12" t="s">
        <v>97</v>
      </c>
      <c r="E332" s="12" t="s">
        <v>3</v>
      </c>
      <c r="F332" s="12"/>
      <c r="G332" s="12" t="s">
        <v>1</v>
      </c>
      <c r="H332" s="12" t="s">
        <v>10</v>
      </c>
      <c r="I332" s="12" t="s">
        <v>38</v>
      </c>
      <c r="J332" s="12" t="s">
        <v>2</v>
      </c>
      <c r="L332" s="4" t="e">
        <f>(#REF!-#REF!)</f>
        <v>#REF!</v>
      </c>
      <c r="M332" s="3" t="e">
        <f t="shared" si="7"/>
        <v>#REF!</v>
      </c>
      <c r="N332" s="2" t="e">
        <f>IF(#REF!=#REF!,"","Start")</f>
        <v>#REF!</v>
      </c>
    </row>
    <row r="333" spans="1:14" x14ac:dyDescent="0.55000000000000004">
      <c r="A333" s="11">
        <v>45055.412175925929</v>
      </c>
      <c r="B333" s="12" t="s">
        <v>168</v>
      </c>
      <c r="C333" s="12" t="s">
        <v>0</v>
      </c>
      <c r="D333" s="12" t="s">
        <v>97</v>
      </c>
      <c r="E333" s="12" t="s">
        <v>98</v>
      </c>
      <c r="F333" s="12"/>
      <c r="G333" s="12" t="s">
        <v>1</v>
      </c>
      <c r="H333" s="12" t="s">
        <v>10</v>
      </c>
      <c r="I333" s="12" t="s">
        <v>38</v>
      </c>
      <c r="J333" s="12" t="s">
        <v>2</v>
      </c>
      <c r="L333" s="4" t="e">
        <f>(#REF!-#REF!)</f>
        <v>#REF!</v>
      </c>
      <c r="M333" s="3" t="e">
        <f t="shared" si="7"/>
        <v>#REF!</v>
      </c>
      <c r="N333" s="2" t="e">
        <f>IF(#REF!=#REF!,"","Start")</f>
        <v>#REF!</v>
      </c>
    </row>
    <row r="334" spans="1:14" x14ac:dyDescent="0.55000000000000004">
      <c r="A334" s="11">
        <v>45055.412199074075</v>
      </c>
      <c r="B334" s="12" t="s">
        <v>168</v>
      </c>
      <c r="C334" s="12" t="s">
        <v>0</v>
      </c>
      <c r="D334" s="12" t="s">
        <v>95</v>
      </c>
      <c r="E334" s="12" t="s">
        <v>122</v>
      </c>
      <c r="F334" s="12"/>
      <c r="G334" s="12" t="s">
        <v>1</v>
      </c>
      <c r="H334" s="12" t="s">
        <v>10</v>
      </c>
      <c r="I334" s="12" t="s">
        <v>38</v>
      </c>
      <c r="J334" s="12" t="s">
        <v>2</v>
      </c>
      <c r="L334" s="4" t="e">
        <f>(#REF!-#REF!)</f>
        <v>#REF!</v>
      </c>
      <c r="M334" s="3" t="e">
        <f t="shared" si="7"/>
        <v>#REF!</v>
      </c>
      <c r="N334" s="2" t="e">
        <f>IF(#REF!=#REF!,"","Start")</f>
        <v>#REF!</v>
      </c>
    </row>
    <row r="335" spans="1:14" x14ac:dyDescent="0.55000000000000004">
      <c r="A335" s="11">
        <v>45055.412210648145</v>
      </c>
      <c r="B335" s="12" t="s">
        <v>168</v>
      </c>
      <c r="C335" s="12" t="s">
        <v>0</v>
      </c>
      <c r="D335" s="12" t="s">
        <v>95</v>
      </c>
      <c r="E335" s="12" t="s">
        <v>3</v>
      </c>
      <c r="F335" s="12"/>
      <c r="G335" s="12" t="s">
        <v>1</v>
      </c>
      <c r="H335" s="12" t="s">
        <v>10</v>
      </c>
      <c r="I335" s="12" t="s">
        <v>38</v>
      </c>
      <c r="J335" s="12" t="s">
        <v>2</v>
      </c>
      <c r="L335" s="4" t="e">
        <f>(#REF!-#REF!)</f>
        <v>#REF!</v>
      </c>
      <c r="M335" s="3" t="e">
        <f t="shared" si="7"/>
        <v>#REF!</v>
      </c>
      <c r="N335" s="2" t="e">
        <f>IF(#REF!=#REF!,"","Start")</f>
        <v>#REF!</v>
      </c>
    </row>
    <row r="336" spans="1:14" x14ac:dyDescent="0.55000000000000004">
      <c r="A336" s="11">
        <v>45055.412777777776</v>
      </c>
      <c r="B336" s="12" t="s">
        <v>168</v>
      </c>
      <c r="C336" s="12" t="s">
        <v>0</v>
      </c>
      <c r="D336" s="12" t="s">
        <v>93</v>
      </c>
      <c r="E336" s="12" t="s">
        <v>94</v>
      </c>
      <c r="F336" s="12"/>
      <c r="G336" s="12" t="s">
        <v>1</v>
      </c>
      <c r="H336" s="12" t="s">
        <v>10</v>
      </c>
      <c r="I336" s="12" t="s">
        <v>38</v>
      </c>
      <c r="J336" s="12" t="s">
        <v>2</v>
      </c>
      <c r="L336" s="4" t="e">
        <f>(#REF!-#REF!)</f>
        <v>#REF!</v>
      </c>
      <c r="M336" s="3" t="e">
        <f t="shared" si="7"/>
        <v>#REF!</v>
      </c>
      <c r="N336" s="2" t="e">
        <f>IF(#REF!=#REF!,"","Start")</f>
        <v>#REF!</v>
      </c>
    </row>
    <row r="337" spans="1:14" x14ac:dyDescent="0.55000000000000004">
      <c r="A337" s="11">
        <v>45055.412800925929</v>
      </c>
      <c r="B337" s="12" t="s">
        <v>168</v>
      </c>
      <c r="C337" s="12" t="s">
        <v>0</v>
      </c>
      <c r="D337" s="12" t="s">
        <v>91</v>
      </c>
      <c r="E337" s="12" t="s">
        <v>163</v>
      </c>
      <c r="F337" s="12"/>
      <c r="G337" s="12" t="s">
        <v>1</v>
      </c>
      <c r="H337" s="12" t="s">
        <v>10</v>
      </c>
      <c r="I337" s="12" t="s">
        <v>38</v>
      </c>
      <c r="J337" s="12" t="s">
        <v>2</v>
      </c>
      <c r="L337" s="4" t="e">
        <f>(#REF!-#REF!)</f>
        <v>#REF!</v>
      </c>
      <c r="M337" s="3" t="e">
        <f t="shared" si="7"/>
        <v>#REF!</v>
      </c>
      <c r="N337" s="2" t="e">
        <f>IF(#REF!=#REF!,"","Start")</f>
        <v>#REF!</v>
      </c>
    </row>
    <row r="338" spans="1:14" x14ac:dyDescent="0.55000000000000004">
      <c r="A338" s="11">
        <v>45055.412835648145</v>
      </c>
      <c r="B338" s="12" t="s">
        <v>168</v>
      </c>
      <c r="C338" s="12" t="s">
        <v>0</v>
      </c>
      <c r="D338" s="12" t="s">
        <v>162</v>
      </c>
      <c r="E338" s="12" t="s">
        <v>73</v>
      </c>
      <c r="F338" s="12"/>
      <c r="G338" s="12" t="s">
        <v>1</v>
      </c>
      <c r="H338" s="12" t="s">
        <v>10</v>
      </c>
      <c r="I338" s="12" t="s">
        <v>38</v>
      </c>
      <c r="J338" s="12" t="s">
        <v>2</v>
      </c>
      <c r="L338" s="4" t="e">
        <f>(#REF!-#REF!)</f>
        <v>#REF!</v>
      </c>
      <c r="M338" s="3" t="e">
        <f t="shared" si="7"/>
        <v>#REF!</v>
      </c>
      <c r="N338" s="2" t="e">
        <f>IF(#REF!=#REF!,"","Start")</f>
        <v>#REF!</v>
      </c>
    </row>
    <row r="339" spans="1:14" x14ac:dyDescent="0.55000000000000004">
      <c r="A339" s="11">
        <v>45055.412870370368</v>
      </c>
      <c r="B339" s="12" t="s">
        <v>168</v>
      </c>
      <c r="C339" s="12" t="s">
        <v>0</v>
      </c>
      <c r="D339" s="12" t="s">
        <v>158</v>
      </c>
      <c r="E339" s="12" t="s">
        <v>159</v>
      </c>
      <c r="F339" s="12" t="s">
        <v>160</v>
      </c>
      <c r="G339" s="12" t="s">
        <v>1</v>
      </c>
      <c r="H339" s="12" t="s">
        <v>10</v>
      </c>
      <c r="I339" s="12" t="s">
        <v>38</v>
      </c>
      <c r="J339" s="12" t="s">
        <v>2</v>
      </c>
      <c r="L339" s="4" t="e">
        <f>(#REF!-#REF!)</f>
        <v>#REF!</v>
      </c>
      <c r="M339" s="3" t="e">
        <f t="shared" si="7"/>
        <v>#REF!</v>
      </c>
      <c r="N339" s="2" t="e">
        <f>IF(#REF!=#REF!,"","Start")</f>
        <v>#REF!</v>
      </c>
    </row>
    <row r="340" spans="1:14" x14ac:dyDescent="0.55000000000000004">
      <c r="A340" s="11">
        <v>45055.412881944445</v>
      </c>
      <c r="B340" s="12" t="s">
        <v>168</v>
      </c>
      <c r="C340" s="12" t="s">
        <v>0</v>
      </c>
      <c r="D340" s="12" t="s">
        <v>158</v>
      </c>
      <c r="E340" s="12" t="s">
        <v>180</v>
      </c>
      <c r="F340" s="12" t="s">
        <v>177</v>
      </c>
      <c r="G340" s="12" t="s">
        <v>1</v>
      </c>
      <c r="H340" s="12" t="s">
        <v>10</v>
      </c>
      <c r="I340" s="12" t="s">
        <v>38</v>
      </c>
      <c r="J340" s="12" t="s">
        <v>2</v>
      </c>
      <c r="L340" s="4" t="e">
        <f>(#REF!-#REF!)</f>
        <v>#REF!</v>
      </c>
      <c r="M340" s="3" t="e">
        <f t="shared" si="7"/>
        <v>#REF!</v>
      </c>
      <c r="N340" s="2" t="e">
        <f>IF(#REF!=#REF!,"","Start")</f>
        <v>#REF!</v>
      </c>
    </row>
    <row r="341" spans="1:14" x14ac:dyDescent="0.55000000000000004">
      <c r="A341" s="11">
        <v>45055.412881944445</v>
      </c>
      <c r="B341" s="12" t="s">
        <v>168</v>
      </c>
      <c r="C341" s="12" t="s">
        <v>0</v>
      </c>
      <c r="D341" s="12" t="s">
        <v>158</v>
      </c>
      <c r="E341" s="12" t="s">
        <v>159</v>
      </c>
      <c r="F341" s="12" t="s">
        <v>182</v>
      </c>
      <c r="G341" s="12" t="s">
        <v>1</v>
      </c>
      <c r="H341" s="12" t="s">
        <v>10</v>
      </c>
      <c r="I341" s="12" t="s">
        <v>38</v>
      </c>
      <c r="J341" s="12" t="s">
        <v>2</v>
      </c>
      <c r="L341" s="4" t="e">
        <f>(#REF!-#REF!)</f>
        <v>#REF!</v>
      </c>
      <c r="M341" s="3" t="e">
        <f t="shared" si="7"/>
        <v>#REF!</v>
      </c>
      <c r="N341" s="2" t="e">
        <f>IF(#REF!=#REF!,"","Start")</f>
        <v>#REF!</v>
      </c>
    </row>
    <row r="342" spans="1:14" x14ac:dyDescent="0.55000000000000004">
      <c r="A342" s="11">
        <v>45055.412905092591</v>
      </c>
      <c r="B342" s="12" t="s">
        <v>168</v>
      </c>
      <c r="C342" s="12" t="s">
        <v>0</v>
      </c>
      <c r="D342" s="12" t="s">
        <v>158</v>
      </c>
      <c r="E342" s="12" t="s">
        <v>180</v>
      </c>
      <c r="F342" s="12" t="s">
        <v>181</v>
      </c>
      <c r="G342" s="12" t="s">
        <v>1</v>
      </c>
      <c r="H342" s="12" t="s">
        <v>10</v>
      </c>
      <c r="I342" s="12" t="s">
        <v>38</v>
      </c>
      <c r="J342" s="12" t="s">
        <v>2</v>
      </c>
      <c r="L342" s="4" t="e">
        <f>(#REF!-#REF!)</f>
        <v>#REF!</v>
      </c>
      <c r="M342" s="3" t="e">
        <f t="shared" si="7"/>
        <v>#REF!</v>
      </c>
      <c r="N342" s="2" t="e">
        <f>IF(#REF!=#REF!,"","Start")</f>
        <v>#REF!</v>
      </c>
    </row>
    <row r="343" spans="1:14" x14ac:dyDescent="0.55000000000000004">
      <c r="A343" s="11">
        <v>45055.412916666668</v>
      </c>
      <c r="B343" s="12" t="s">
        <v>168</v>
      </c>
      <c r="C343" s="12" t="s">
        <v>0</v>
      </c>
      <c r="D343" s="12" t="s">
        <v>158</v>
      </c>
      <c r="E343" s="12" t="s">
        <v>151</v>
      </c>
      <c r="F343" s="12" t="s">
        <v>43</v>
      </c>
      <c r="G343" s="12" t="s">
        <v>1</v>
      </c>
      <c r="H343" s="12" t="s">
        <v>10</v>
      </c>
      <c r="I343" s="12" t="s">
        <v>38</v>
      </c>
      <c r="J343" s="12" t="s">
        <v>2</v>
      </c>
      <c r="L343" s="4" t="e">
        <f>(#REF!-#REF!)</f>
        <v>#REF!</v>
      </c>
      <c r="M343" s="3" t="e">
        <f t="shared" si="7"/>
        <v>#REF!</v>
      </c>
      <c r="N343" s="2" t="e">
        <f>IF(#REF!=#REF!,"","Start")</f>
        <v>#REF!</v>
      </c>
    </row>
    <row r="344" spans="1:14" x14ac:dyDescent="0.55000000000000004">
      <c r="A344" s="11">
        <v>45055.412951388891</v>
      </c>
      <c r="B344" s="12" t="s">
        <v>168</v>
      </c>
      <c r="C344" s="12" t="s">
        <v>0</v>
      </c>
      <c r="D344" s="12" t="s">
        <v>158</v>
      </c>
      <c r="E344" s="12" t="s">
        <v>73</v>
      </c>
      <c r="F344" s="12"/>
      <c r="G344" s="12" t="s">
        <v>1</v>
      </c>
      <c r="H344" s="12" t="s">
        <v>10</v>
      </c>
      <c r="I344" s="12" t="s">
        <v>38</v>
      </c>
      <c r="J344" s="12" t="s">
        <v>2</v>
      </c>
      <c r="L344" s="4" t="e">
        <f>(#REF!-#REF!)</f>
        <v>#REF!</v>
      </c>
      <c r="M344" s="3" t="e">
        <f t="shared" si="7"/>
        <v>#REF!</v>
      </c>
      <c r="N344" s="2" t="e">
        <f>IF(#REF!=#REF!,"","Start")</f>
        <v>#REF!</v>
      </c>
    </row>
    <row r="345" spans="1:14" x14ac:dyDescent="0.55000000000000004">
      <c r="A345" s="11">
        <v>45055.412974537037</v>
      </c>
      <c r="B345" s="12" t="s">
        <v>168</v>
      </c>
      <c r="C345" s="12" t="s">
        <v>0</v>
      </c>
      <c r="D345" s="12" t="s">
        <v>157</v>
      </c>
      <c r="E345" s="12" t="s">
        <v>80</v>
      </c>
      <c r="F345" s="12"/>
      <c r="G345" s="12" t="s">
        <v>1</v>
      </c>
      <c r="H345" s="12" t="s">
        <v>10</v>
      </c>
      <c r="I345" s="12" t="s">
        <v>38</v>
      </c>
      <c r="J345" s="12" t="s">
        <v>2</v>
      </c>
      <c r="L345" s="4" t="e">
        <f>(#REF!-#REF!)</f>
        <v>#REF!</v>
      </c>
      <c r="M345" s="3" t="e">
        <f t="shared" si="7"/>
        <v>#REF!</v>
      </c>
      <c r="N345" s="2" t="e">
        <f>IF(#REF!=#REF!,"","Start")</f>
        <v>#REF!</v>
      </c>
    </row>
    <row r="346" spans="1:14" x14ac:dyDescent="0.55000000000000004">
      <c r="A346" s="11">
        <v>45055.412986111114</v>
      </c>
      <c r="B346" s="12" t="s">
        <v>168</v>
      </c>
      <c r="C346" s="12" t="s">
        <v>0</v>
      </c>
      <c r="D346" s="12" t="s">
        <v>153</v>
      </c>
      <c r="E346" s="12" t="s">
        <v>76</v>
      </c>
      <c r="F346" s="12" t="s">
        <v>156</v>
      </c>
      <c r="G346" s="12" t="s">
        <v>1</v>
      </c>
      <c r="H346" s="12" t="s">
        <v>10</v>
      </c>
      <c r="I346" s="12" t="s">
        <v>38</v>
      </c>
      <c r="J346" s="12" t="s">
        <v>2</v>
      </c>
      <c r="L346" s="4" t="e">
        <f>(#REF!-#REF!)</f>
        <v>#REF!</v>
      </c>
      <c r="M346" s="3" t="e">
        <f t="shared" si="7"/>
        <v>#REF!</v>
      </c>
      <c r="N346" s="2" t="e">
        <f>IF(#REF!=#REF!,"","Start")</f>
        <v>#REF!</v>
      </c>
    </row>
    <row r="347" spans="1:14" x14ac:dyDescent="0.55000000000000004">
      <c r="A347" s="11">
        <v>45055.412997685184</v>
      </c>
      <c r="B347" s="12" t="s">
        <v>168</v>
      </c>
      <c r="C347" s="12" t="s">
        <v>0</v>
      </c>
      <c r="D347" s="12" t="s">
        <v>153</v>
      </c>
      <c r="E347" s="12" t="s">
        <v>76</v>
      </c>
      <c r="F347" s="12" t="s">
        <v>179</v>
      </c>
      <c r="G347" s="12" t="s">
        <v>1</v>
      </c>
      <c r="H347" s="12" t="s">
        <v>10</v>
      </c>
      <c r="I347" s="12" t="s">
        <v>38</v>
      </c>
      <c r="J347" s="12" t="s">
        <v>2</v>
      </c>
      <c r="L347" s="4" t="e">
        <f>(#REF!-#REF!)</f>
        <v>#REF!</v>
      </c>
      <c r="M347" s="3" t="e">
        <f t="shared" si="7"/>
        <v>#REF!</v>
      </c>
      <c r="N347" s="2" t="e">
        <f>IF(#REF!=#REF!,"","Start")</f>
        <v>#REF!</v>
      </c>
    </row>
    <row r="348" spans="1:14" x14ac:dyDescent="0.55000000000000004">
      <c r="A348" s="11">
        <v>45055.41300925926</v>
      </c>
      <c r="B348" s="12" t="s">
        <v>168</v>
      </c>
      <c r="C348" s="12" t="s">
        <v>0</v>
      </c>
      <c r="D348" s="12" t="s">
        <v>153</v>
      </c>
      <c r="E348" s="12" t="s">
        <v>73</v>
      </c>
      <c r="F348" s="12"/>
      <c r="G348" s="12" t="s">
        <v>1</v>
      </c>
      <c r="H348" s="12" t="s">
        <v>10</v>
      </c>
      <c r="I348" s="12" t="s">
        <v>38</v>
      </c>
      <c r="J348" s="12" t="s">
        <v>2</v>
      </c>
      <c r="L348" s="4" t="e">
        <f>(#REF!-#REF!)</f>
        <v>#REF!</v>
      </c>
      <c r="M348" s="3" t="e">
        <f t="shared" si="7"/>
        <v>#REF!</v>
      </c>
      <c r="N348" s="2" t="e">
        <f>IF(#REF!=#REF!,"","Start")</f>
        <v>#REF!</v>
      </c>
    </row>
    <row r="349" spans="1:14" x14ac:dyDescent="0.55000000000000004">
      <c r="A349" s="11">
        <v>45055.41302083333</v>
      </c>
      <c r="B349" s="12" t="s">
        <v>168</v>
      </c>
      <c r="C349" s="12" t="s">
        <v>0</v>
      </c>
      <c r="D349" s="12" t="s">
        <v>150</v>
      </c>
      <c r="E349" s="12" t="s">
        <v>159</v>
      </c>
      <c r="F349" s="12" t="s">
        <v>160</v>
      </c>
      <c r="G349" s="12" t="s">
        <v>1</v>
      </c>
      <c r="H349" s="12" t="s">
        <v>10</v>
      </c>
      <c r="I349" s="12" t="s">
        <v>38</v>
      </c>
      <c r="J349" s="12" t="s">
        <v>2</v>
      </c>
      <c r="L349" s="4" t="e">
        <f>(#REF!-#REF!)</f>
        <v>#REF!</v>
      </c>
      <c r="M349" s="3" t="e">
        <f t="shared" si="7"/>
        <v>#REF!</v>
      </c>
      <c r="N349" s="2" t="e">
        <f>IF(#REF!=#REF!,"","Start")</f>
        <v>#REF!</v>
      </c>
    </row>
    <row r="350" spans="1:14" x14ac:dyDescent="0.55000000000000004">
      <c r="A350" s="11">
        <v>45055.413032407407</v>
      </c>
      <c r="B350" s="12" t="s">
        <v>168</v>
      </c>
      <c r="C350" s="12" t="s">
        <v>0</v>
      </c>
      <c r="D350" s="12" t="s">
        <v>150</v>
      </c>
      <c r="E350" s="12" t="s">
        <v>159</v>
      </c>
      <c r="F350" s="12" t="s">
        <v>178</v>
      </c>
      <c r="G350" s="12" t="s">
        <v>1</v>
      </c>
      <c r="H350" s="12" t="s">
        <v>10</v>
      </c>
      <c r="I350" s="12" t="s">
        <v>38</v>
      </c>
      <c r="J350" s="12" t="s">
        <v>2</v>
      </c>
      <c r="L350" s="4" t="e">
        <f>(#REF!-#REF!)</f>
        <v>#REF!</v>
      </c>
      <c r="M350" s="3" t="e">
        <f t="shared" si="7"/>
        <v>#REF!</v>
      </c>
      <c r="N350" s="2" t="e">
        <f>IF(#REF!=#REF!,"","Start")</f>
        <v>#REF!</v>
      </c>
    </row>
    <row r="351" spans="1:14" x14ac:dyDescent="0.55000000000000004">
      <c r="A351" s="11">
        <v>45055.413043981483</v>
      </c>
      <c r="B351" s="12" t="s">
        <v>168</v>
      </c>
      <c r="C351" s="12" t="s">
        <v>0</v>
      </c>
      <c r="D351" s="12" t="s">
        <v>150</v>
      </c>
      <c r="E351" s="12" t="s">
        <v>176</v>
      </c>
      <c r="F351" s="12" t="s">
        <v>177</v>
      </c>
      <c r="G351" s="12" t="s">
        <v>1</v>
      </c>
      <c r="H351" s="12" t="s">
        <v>10</v>
      </c>
      <c r="I351" s="12" t="s">
        <v>38</v>
      </c>
      <c r="J351" s="12" t="s">
        <v>2</v>
      </c>
      <c r="L351" s="4" t="e">
        <f>(#REF!-#REF!)</f>
        <v>#REF!</v>
      </c>
      <c r="M351" s="3" t="e">
        <f t="shared" si="7"/>
        <v>#REF!</v>
      </c>
      <c r="N351" s="2" t="e">
        <f>IF(#REF!=#REF!,"","Start")</f>
        <v>#REF!</v>
      </c>
    </row>
    <row r="352" spans="1:14" x14ac:dyDescent="0.55000000000000004">
      <c r="A352" s="11">
        <v>45055.413055555553</v>
      </c>
      <c r="B352" s="12" t="s">
        <v>168</v>
      </c>
      <c r="C352" s="12" t="s">
        <v>0</v>
      </c>
      <c r="D352" s="12" t="s">
        <v>150</v>
      </c>
      <c r="E352" s="12" t="s">
        <v>176</v>
      </c>
      <c r="F352" s="12" t="s">
        <v>177</v>
      </c>
      <c r="G352" s="12" t="s">
        <v>1</v>
      </c>
      <c r="H352" s="12" t="s">
        <v>10</v>
      </c>
      <c r="I352" s="12" t="s">
        <v>38</v>
      </c>
      <c r="J352" s="12" t="s">
        <v>2</v>
      </c>
      <c r="L352" s="4" t="e">
        <f>(#REF!-#REF!)</f>
        <v>#REF!</v>
      </c>
      <c r="M352" s="3" t="e">
        <f t="shared" si="7"/>
        <v>#REF!</v>
      </c>
      <c r="N352" s="2" t="e">
        <f>IF(#REF!=#REF!,"","Start")</f>
        <v>#REF!</v>
      </c>
    </row>
    <row r="353" spans="1:14" x14ac:dyDescent="0.55000000000000004">
      <c r="A353" s="11">
        <v>45055.41306712963</v>
      </c>
      <c r="B353" s="12" t="s">
        <v>168</v>
      </c>
      <c r="C353" s="12" t="s">
        <v>0</v>
      </c>
      <c r="D353" s="12" t="s">
        <v>150</v>
      </c>
      <c r="E353" s="12" t="s">
        <v>73</v>
      </c>
      <c r="F353" s="12"/>
      <c r="G353" s="12" t="s">
        <v>1</v>
      </c>
      <c r="H353" s="12" t="s">
        <v>10</v>
      </c>
      <c r="I353" s="12" t="s">
        <v>38</v>
      </c>
      <c r="J353" s="12" t="s">
        <v>2</v>
      </c>
      <c r="L353" s="4" t="e">
        <f>(#REF!-#REF!)</f>
        <v>#REF!</v>
      </c>
      <c r="M353" s="3" t="e">
        <f t="shared" si="7"/>
        <v>#REF!</v>
      </c>
      <c r="N353" s="2" t="e">
        <f>IF(#REF!=#REF!,"","Start")</f>
        <v>#REF!</v>
      </c>
    </row>
    <row r="354" spans="1:14" x14ac:dyDescent="0.55000000000000004">
      <c r="A354" s="11">
        <v>45055.413113425922</v>
      </c>
      <c r="B354" s="12" t="s">
        <v>168</v>
      </c>
      <c r="C354" s="12" t="s">
        <v>0</v>
      </c>
      <c r="D354" s="12" t="s">
        <v>149</v>
      </c>
      <c r="E354" s="12" t="s">
        <v>73</v>
      </c>
      <c r="F354" s="12"/>
      <c r="G354" s="12" t="s">
        <v>1</v>
      </c>
      <c r="H354" s="12" t="s">
        <v>10</v>
      </c>
      <c r="I354" s="12" t="s">
        <v>38</v>
      </c>
      <c r="J354" s="12" t="s">
        <v>2</v>
      </c>
      <c r="L354" s="4" t="e">
        <f>(#REF!-#REF!)</f>
        <v>#REF!</v>
      </c>
      <c r="M354" s="3" t="e">
        <f t="shared" si="7"/>
        <v>#REF!</v>
      </c>
      <c r="N354" s="2" t="e">
        <f>IF(#REF!=#REF!,"","Start")</f>
        <v>#REF!</v>
      </c>
    </row>
    <row r="355" spans="1:14" x14ac:dyDescent="0.55000000000000004">
      <c r="A355" s="11">
        <v>45055.413159722222</v>
      </c>
      <c r="B355" s="12" t="s">
        <v>168</v>
      </c>
      <c r="C355" s="12" t="s">
        <v>0</v>
      </c>
      <c r="D355" s="12" t="s">
        <v>147</v>
      </c>
      <c r="E355" s="12" t="s">
        <v>90</v>
      </c>
      <c r="F355" s="12"/>
      <c r="G355" s="12" t="s">
        <v>1</v>
      </c>
      <c r="H355" s="12" t="s">
        <v>10</v>
      </c>
      <c r="I355" s="12" t="s">
        <v>38</v>
      </c>
      <c r="J355" s="12" t="s">
        <v>2</v>
      </c>
      <c r="L355" s="4" t="e">
        <f>(#REF!-#REF!)</f>
        <v>#REF!</v>
      </c>
      <c r="M355" s="3" t="e">
        <f t="shared" si="7"/>
        <v>#REF!</v>
      </c>
      <c r="N355" s="2" t="e">
        <f>IF(#REF!=#REF!,"","Start")</f>
        <v>#REF!</v>
      </c>
    </row>
    <row r="356" spans="1:14" x14ac:dyDescent="0.55000000000000004">
      <c r="A356" s="11">
        <v>45055.413194444445</v>
      </c>
      <c r="B356" s="12" t="s">
        <v>168</v>
      </c>
      <c r="C356" s="12" t="s">
        <v>0</v>
      </c>
      <c r="D356" s="12" t="s">
        <v>173</v>
      </c>
      <c r="E356" s="12" t="s">
        <v>89</v>
      </c>
      <c r="F356" s="12"/>
      <c r="G356" s="12" t="s">
        <v>1</v>
      </c>
      <c r="H356" s="12" t="s">
        <v>10</v>
      </c>
      <c r="I356" s="12" t="s">
        <v>38</v>
      </c>
      <c r="J356" s="12" t="s">
        <v>2</v>
      </c>
      <c r="L356" s="4" t="e">
        <f>(#REF!-#REF!)</f>
        <v>#REF!</v>
      </c>
      <c r="M356" s="3" t="e">
        <f t="shared" si="7"/>
        <v>#REF!</v>
      </c>
      <c r="N356" s="2" t="e">
        <f>IF(#REF!=#REF!,"","Start")</f>
        <v>#REF!</v>
      </c>
    </row>
    <row r="357" spans="1:14" x14ac:dyDescent="0.55000000000000004">
      <c r="A357" s="11">
        <v>45055.413229166668</v>
      </c>
      <c r="B357" s="12" t="s">
        <v>168</v>
      </c>
      <c r="C357" s="12" t="s">
        <v>0</v>
      </c>
      <c r="D357" s="12" t="s">
        <v>147</v>
      </c>
      <c r="E357" s="12" t="s">
        <v>137</v>
      </c>
      <c r="F357" s="12"/>
      <c r="G357" s="12" t="s">
        <v>1</v>
      </c>
      <c r="H357" s="12" t="s">
        <v>10</v>
      </c>
      <c r="I357" s="12" t="s">
        <v>38</v>
      </c>
      <c r="J357" s="12" t="s">
        <v>2</v>
      </c>
      <c r="L357" s="4" t="e">
        <f>(#REF!-#REF!)</f>
        <v>#REF!</v>
      </c>
      <c r="M357" s="3" t="e">
        <f t="shared" si="7"/>
        <v>#REF!</v>
      </c>
      <c r="N357" s="2" t="e">
        <f>IF(#REF!=#REF!,"","Start")</f>
        <v>#REF!</v>
      </c>
    </row>
    <row r="358" spans="1:14" x14ac:dyDescent="0.55000000000000004">
      <c r="A358" s="11">
        <v>45055.413252314815</v>
      </c>
      <c r="B358" s="12" t="s">
        <v>168</v>
      </c>
      <c r="C358" s="12" t="s">
        <v>0</v>
      </c>
      <c r="D358" s="12" t="s">
        <v>147</v>
      </c>
      <c r="E358" s="12" t="s">
        <v>137</v>
      </c>
      <c r="F358" s="12"/>
      <c r="G358" s="12" t="s">
        <v>1</v>
      </c>
      <c r="H358" s="12" t="s">
        <v>10</v>
      </c>
      <c r="I358" s="12" t="s">
        <v>38</v>
      </c>
      <c r="J358" s="12" t="s">
        <v>2</v>
      </c>
      <c r="L358" s="4" t="e">
        <f>(#REF!-#REF!)</f>
        <v>#REF!</v>
      </c>
      <c r="M358" s="3" t="e">
        <f t="shared" si="7"/>
        <v>#REF!</v>
      </c>
      <c r="N358" s="2" t="e">
        <f>IF(#REF!=#REF!,"","Start")</f>
        <v>#REF!</v>
      </c>
    </row>
    <row r="359" spans="1:14" x14ac:dyDescent="0.55000000000000004">
      <c r="A359" s="11">
        <v>45055.413275462961</v>
      </c>
      <c r="B359" s="12" t="s">
        <v>168</v>
      </c>
      <c r="C359" s="12" t="s">
        <v>0</v>
      </c>
      <c r="D359" s="12" t="s">
        <v>172</v>
      </c>
      <c r="E359" s="12" t="s">
        <v>89</v>
      </c>
      <c r="F359" s="12"/>
      <c r="G359" s="12" t="s">
        <v>1</v>
      </c>
      <c r="H359" s="12" t="s">
        <v>10</v>
      </c>
      <c r="I359" s="12" t="s">
        <v>38</v>
      </c>
      <c r="J359" s="12" t="s">
        <v>2</v>
      </c>
      <c r="L359" s="4" t="e">
        <f>(#REF!-#REF!)</f>
        <v>#REF!</v>
      </c>
      <c r="M359" s="3" t="e">
        <f t="shared" si="7"/>
        <v>#REF!</v>
      </c>
      <c r="N359" s="2" t="e">
        <f>IF(#REF!=#REF!,"","Start")</f>
        <v>#REF!</v>
      </c>
    </row>
    <row r="360" spans="1:14" x14ac:dyDescent="0.55000000000000004">
      <c r="A360" s="11">
        <v>45055.413298611114</v>
      </c>
      <c r="B360" s="12" t="s">
        <v>168</v>
      </c>
      <c r="C360" s="12" t="s">
        <v>0</v>
      </c>
      <c r="D360" s="12" t="s">
        <v>147</v>
      </c>
      <c r="E360" s="12" t="s">
        <v>90</v>
      </c>
      <c r="F360" s="12"/>
      <c r="G360" s="12" t="s">
        <v>1</v>
      </c>
      <c r="H360" s="12" t="s">
        <v>10</v>
      </c>
      <c r="I360" s="12" t="s">
        <v>38</v>
      </c>
      <c r="J360" s="12" t="s">
        <v>2</v>
      </c>
      <c r="L360" s="4" t="e">
        <f>(#REF!-#REF!)</f>
        <v>#REF!</v>
      </c>
      <c r="M360" s="3" t="e">
        <f t="shared" si="7"/>
        <v>#REF!</v>
      </c>
      <c r="N360" s="2" t="e">
        <f>IF(#REF!=#REF!,"","Start")</f>
        <v>#REF!</v>
      </c>
    </row>
    <row r="361" spans="1:14" x14ac:dyDescent="0.55000000000000004">
      <c r="A361" s="11">
        <v>45055.413321759261</v>
      </c>
      <c r="B361" s="12" t="s">
        <v>168</v>
      </c>
      <c r="C361" s="12" t="s">
        <v>0</v>
      </c>
      <c r="D361" s="12" t="s">
        <v>173</v>
      </c>
      <c r="E361" s="12" t="s">
        <v>89</v>
      </c>
      <c r="F361" s="12"/>
      <c r="G361" s="12" t="s">
        <v>1</v>
      </c>
      <c r="H361" s="12" t="s">
        <v>10</v>
      </c>
      <c r="I361" s="12" t="s">
        <v>38</v>
      </c>
      <c r="J361" s="12" t="s">
        <v>2</v>
      </c>
      <c r="L361" s="4" t="e">
        <f>(#REF!-#REF!)</f>
        <v>#REF!</v>
      </c>
      <c r="M361" s="3" t="e">
        <f t="shared" si="7"/>
        <v>#REF!</v>
      </c>
      <c r="N361" s="2" t="e">
        <f>IF(#REF!=#REF!,"","Start")</f>
        <v>#REF!</v>
      </c>
    </row>
    <row r="362" spans="1:14" x14ac:dyDescent="0.55000000000000004">
      <c r="A362" s="11">
        <v>45055.413356481484</v>
      </c>
      <c r="B362" s="12" t="s">
        <v>168</v>
      </c>
      <c r="C362" s="12" t="s">
        <v>0</v>
      </c>
      <c r="D362" s="12" t="s">
        <v>147</v>
      </c>
      <c r="E362" s="12" t="s">
        <v>90</v>
      </c>
      <c r="F362" s="12"/>
      <c r="G362" s="12" t="s">
        <v>1</v>
      </c>
      <c r="H362" s="12" t="s">
        <v>10</v>
      </c>
      <c r="I362" s="12" t="s">
        <v>38</v>
      </c>
      <c r="J362" s="12" t="s">
        <v>2</v>
      </c>
      <c r="L362" s="4" t="e">
        <f>(#REF!-#REF!)</f>
        <v>#REF!</v>
      </c>
      <c r="M362" s="3" t="e">
        <f t="shared" si="7"/>
        <v>#REF!</v>
      </c>
      <c r="N362" s="2" t="e">
        <f>IF(#REF!=#REF!,"","Start")</f>
        <v>#REF!</v>
      </c>
    </row>
    <row r="363" spans="1:14" x14ac:dyDescent="0.55000000000000004">
      <c r="A363" s="11">
        <v>45055.413402777776</v>
      </c>
      <c r="B363" s="12" t="s">
        <v>168</v>
      </c>
      <c r="C363" s="12" t="s">
        <v>0</v>
      </c>
      <c r="D363" s="12" t="s">
        <v>147</v>
      </c>
      <c r="E363" s="12" t="s">
        <v>134</v>
      </c>
      <c r="F363" s="12"/>
      <c r="G363" s="12" t="s">
        <v>1</v>
      </c>
      <c r="H363" s="12" t="s">
        <v>10</v>
      </c>
      <c r="I363" s="12" t="s">
        <v>38</v>
      </c>
      <c r="J363" s="12" t="s">
        <v>2</v>
      </c>
      <c r="L363" s="4" t="e">
        <f>(#REF!-#REF!)</f>
        <v>#REF!</v>
      </c>
      <c r="M363" s="3" t="e">
        <f t="shared" si="7"/>
        <v>#REF!</v>
      </c>
      <c r="N363" s="2" t="e">
        <f>IF(#REF!=#REF!,"","Start")</f>
        <v>#REF!</v>
      </c>
    </row>
    <row r="364" spans="1:14" x14ac:dyDescent="0.55000000000000004">
      <c r="A364" s="11">
        <v>45055.413449074076</v>
      </c>
      <c r="B364" s="12" t="s">
        <v>168</v>
      </c>
      <c r="C364" s="12" t="s">
        <v>0</v>
      </c>
      <c r="D364" s="12" t="s">
        <v>147</v>
      </c>
      <c r="E364" s="12" t="s">
        <v>133</v>
      </c>
      <c r="F364" s="12"/>
      <c r="G364" s="12" t="s">
        <v>1</v>
      </c>
      <c r="H364" s="12" t="s">
        <v>10</v>
      </c>
      <c r="I364" s="12" t="s">
        <v>38</v>
      </c>
      <c r="J364" s="12" t="s">
        <v>2</v>
      </c>
      <c r="L364" s="4" t="e">
        <f>(#REF!-#REF!)</f>
        <v>#REF!</v>
      </c>
      <c r="M364" s="3" t="e">
        <f t="shared" si="7"/>
        <v>#REF!</v>
      </c>
      <c r="N364" s="2" t="e">
        <f>IF(#REF!=#REF!,"","Start")</f>
        <v>#REF!</v>
      </c>
    </row>
    <row r="365" spans="1:14" x14ac:dyDescent="0.55000000000000004">
      <c r="A365" s="11">
        <v>45055.413460648146</v>
      </c>
      <c r="B365" s="12" t="s">
        <v>168</v>
      </c>
      <c r="C365" s="12" t="s">
        <v>0</v>
      </c>
      <c r="D365" s="12" t="s">
        <v>147</v>
      </c>
      <c r="E365" s="12" t="s">
        <v>133</v>
      </c>
      <c r="F365" s="12"/>
      <c r="G365" s="12" t="s">
        <v>1</v>
      </c>
      <c r="H365" s="12" t="s">
        <v>10</v>
      </c>
      <c r="I365" s="12" t="s">
        <v>38</v>
      </c>
      <c r="J365" s="12" t="s">
        <v>2</v>
      </c>
      <c r="L365" s="4" t="e">
        <f>(#REF!-#REF!)</f>
        <v>#REF!</v>
      </c>
      <c r="M365" s="3" t="e">
        <f t="shared" si="7"/>
        <v>#REF!</v>
      </c>
      <c r="N365" s="2" t="e">
        <f>IF(#REF!=#REF!,"","Start")</f>
        <v>#REF!</v>
      </c>
    </row>
    <row r="366" spans="1:14" x14ac:dyDescent="0.55000000000000004">
      <c r="A366" s="11">
        <v>45055.413634259261</v>
      </c>
      <c r="B366" s="12" t="s">
        <v>168</v>
      </c>
      <c r="C366" s="12" t="s">
        <v>0</v>
      </c>
      <c r="D366" s="12" t="s">
        <v>95</v>
      </c>
      <c r="E366" s="12" t="s">
        <v>122</v>
      </c>
      <c r="F366" s="12"/>
      <c r="G366" s="12" t="s">
        <v>1</v>
      </c>
      <c r="H366" s="12" t="s">
        <v>10</v>
      </c>
      <c r="I366" s="12" t="s">
        <v>38</v>
      </c>
      <c r="J366" s="12" t="s">
        <v>2</v>
      </c>
      <c r="L366" s="4" t="e">
        <f>(#REF!-#REF!)</f>
        <v>#REF!</v>
      </c>
      <c r="M366" s="3" t="e">
        <f t="shared" si="7"/>
        <v>#REF!</v>
      </c>
      <c r="N366" s="2" t="e">
        <f>IF(#REF!=#REF!,"","Start")</f>
        <v>#REF!</v>
      </c>
    </row>
    <row r="367" spans="1:14" x14ac:dyDescent="0.55000000000000004">
      <c r="A367" s="11">
        <v>45055.413645833331</v>
      </c>
      <c r="B367" s="12" t="s">
        <v>168</v>
      </c>
      <c r="C367" s="12" t="s">
        <v>0</v>
      </c>
      <c r="D367" s="12" t="s">
        <v>95</v>
      </c>
      <c r="E367" s="12" t="s">
        <v>3</v>
      </c>
      <c r="F367" s="12"/>
      <c r="G367" s="12" t="s">
        <v>1</v>
      </c>
      <c r="H367" s="12" t="s">
        <v>10</v>
      </c>
      <c r="I367" s="12" t="s">
        <v>38</v>
      </c>
      <c r="J367" s="12" t="s">
        <v>2</v>
      </c>
      <c r="L367" s="4" t="e">
        <f>(#REF!-#REF!)</f>
        <v>#REF!</v>
      </c>
      <c r="M367" s="3" t="e">
        <f t="shared" si="7"/>
        <v>#REF!</v>
      </c>
      <c r="N367" s="2" t="e">
        <f>IF(#REF!=#REF!,"","Start")</f>
        <v>#REF!</v>
      </c>
    </row>
    <row r="368" spans="1:14" x14ac:dyDescent="0.55000000000000004">
      <c r="A368" s="11">
        <v>45055.413668981484</v>
      </c>
      <c r="B368" s="12" t="s">
        <v>168</v>
      </c>
      <c r="C368" s="12" t="s">
        <v>0</v>
      </c>
      <c r="D368" s="12" t="s">
        <v>93</v>
      </c>
      <c r="E368" s="12" t="s">
        <v>94</v>
      </c>
      <c r="F368" s="12"/>
      <c r="G368" s="12" t="s">
        <v>1</v>
      </c>
      <c r="H368" s="12" t="s">
        <v>10</v>
      </c>
      <c r="I368" s="12" t="s">
        <v>38</v>
      </c>
      <c r="J368" s="12" t="s">
        <v>2</v>
      </c>
      <c r="L368" s="4" t="e">
        <f>(#REF!-#REF!)</f>
        <v>#REF!</v>
      </c>
      <c r="M368" s="3" t="e">
        <f t="shared" si="7"/>
        <v>#REF!</v>
      </c>
      <c r="N368" s="2" t="e">
        <f>IF(#REF!=#REF!,"","Start")</f>
        <v>#REF!</v>
      </c>
    </row>
    <row r="369" spans="1:14" x14ac:dyDescent="0.55000000000000004">
      <c r="A369" s="11">
        <v>45055.41369212963</v>
      </c>
      <c r="B369" s="12" t="s">
        <v>168</v>
      </c>
      <c r="C369" s="12" t="s">
        <v>0</v>
      </c>
      <c r="D369" s="12" t="s">
        <v>91</v>
      </c>
      <c r="E369" s="12" t="s">
        <v>163</v>
      </c>
      <c r="F369" s="12"/>
      <c r="G369" s="12" t="s">
        <v>1</v>
      </c>
      <c r="H369" s="12" t="s">
        <v>10</v>
      </c>
      <c r="I369" s="12" t="s">
        <v>38</v>
      </c>
      <c r="J369" s="12" t="s">
        <v>2</v>
      </c>
      <c r="L369" s="4" t="e">
        <f>(#REF!-#REF!)</f>
        <v>#REF!</v>
      </c>
      <c r="M369" s="3" t="e">
        <f t="shared" si="7"/>
        <v>#REF!</v>
      </c>
      <c r="N369" s="2" t="e">
        <f>IF(#REF!=#REF!,"","Start")</f>
        <v>#REF!</v>
      </c>
    </row>
    <row r="370" spans="1:14" x14ac:dyDescent="0.55000000000000004">
      <c r="A370" s="11">
        <v>45055.413715277777</v>
      </c>
      <c r="B370" s="12" t="s">
        <v>168</v>
      </c>
      <c r="C370" s="12" t="s">
        <v>0</v>
      </c>
      <c r="D370" s="12" t="s">
        <v>162</v>
      </c>
      <c r="E370" s="12" t="s">
        <v>73</v>
      </c>
      <c r="F370" s="12"/>
      <c r="G370" s="12" t="s">
        <v>1</v>
      </c>
      <c r="H370" s="12" t="s">
        <v>10</v>
      </c>
      <c r="I370" s="12" t="s">
        <v>38</v>
      </c>
      <c r="J370" s="12" t="s">
        <v>2</v>
      </c>
      <c r="L370" s="4" t="e">
        <f>(#REF!-#REF!)</f>
        <v>#REF!</v>
      </c>
      <c r="M370" s="3" t="e">
        <f t="shared" si="7"/>
        <v>#REF!</v>
      </c>
      <c r="N370" s="2" t="e">
        <f>IF(#REF!=#REF!,"","Start")</f>
        <v>#REF!</v>
      </c>
    </row>
    <row r="371" spans="1:14" x14ac:dyDescent="0.55000000000000004">
      <c r="A371" s="11">
        <v>45055.41375</v>
      </c>
      <c r="B371" s="12" t="s">
        <v>168</v>
      </c>
      <c r="C371" s="12" t="s">
        <v>0</v>
      </c>
      <c r="D371" s="12" t="s">
        <v>158</v>
      </c>
      <c r="E371" s="12" t="s">
        <v>73</v>
      </c>
      <c r="F371" s="12"/>
      <c r="G371" s="12" t="s">
        <v>1</v>
      </c>
      <c r="H371" s="12" t="s">
        <v>10</v>
      </c>
      <c r="I371" s="12" t="s">
        <v>38</v>
      </c>
      <c r="J371" s="12" t="s">
        <v>2</v>
      </c>
      <c r="L371" s="4" t="e">
        <f>(#REF!-#REF!)</f>
        <v>#REF!</v>
      </c>
      <c r="M371" s="3" t="e">
        <f t="shared" si="7"/>
        <v>#REF!</v>
      </c>
      <c r="N371" s="2" t="e">
        <f>IF(#REF!=#REF!,"","Start")</f>
        <v>#REF!</v>
      </c>
    </row>
    <row r="372" spans="1:14" x14ac:dyDescent="0.55000000000000004">
      <c r="A372" s="11">
        <v>45055.413773148146</v>
      </c>
      <c r="B372" s="12" t="s">
        <v>168</v>
      </c>
      <c r="C372" s="12" t="s">
        <v>0</v>
      </c>
      <c r="D372" s="12" t="s">
        <v>157</v>
      </c>
      <c r="E372" s="12" t="s">
        <v>80</v>
      </c>
      <c r="F372" s="12"/>
      <c r="G372" s="12" t="s">
        <v>1</v>
      </c>
      <c r="H372" s="12" t="s">
        <v>10</v>
      </c>
      <c r="I372" s="12" t="s">
        <v>38</v>
      </c>
      <c r="J372" s="12" t="s">
        <v>2</v>
      </c>
      <c r="L372" s="4" t="e">
        <f>(#REF!-#REF!)</f>
        <v>#REF!</v>
      </c>
      <c r="M372" s="3" t="e">
        <f t="shared" si="7"/>
        <v>#REF!</v>
      </c>
      <c r="N372" s="2" t="e">
        <f>IF(#REF!=#REF!,"","Start")</f>
        <v>#REF!</v>
      </c>
    </row>
    <row r="373" spans="1:14" x14ac:dyDescent="0.55000000000000004">
      <c r="A373" s="11">
        <v>45055.413784722223</v>
      </c>
      <c r="B373" s="12" t="s">
        <v>168</v>
      </c>
      <c r="C373" s="12" t="s">
        <v>0</v>
      </c>
      <c r="D373" s="12" t="s">
        <v>153</v>
      </c>
      <c r="E373" s="12" t="s">
        <v>76</v>
      </c>
      <c r="F373" s="12" t="s">
        <v>156</v>
      </c>
      <c r="G373" s="12" t="s">
        <v>1</v>
      </c>
      <c r="H373" s="12" t="s">
        <v>10</v>
      </c>
      <c r="I373" s="12" t="s">
        <v>38</v>
      </c>
      <c r="J373" s="12" t="s">
        <v>2</v>
      </c>
      <c r="L373" s="4" t="e">
        <f>(#REF!-#REF!)</f>
        <v>#REF!</v>
      </c>
      <c r="M373" s="3" t="e">
        <f t="shared" si="7"/>
        <v>#REF!</v>
      </c>
      <c r="N373" s="2" t="e">
        <f>IF(#REF!=#REF!,"","Start")</f>
        <v>#REF!</v>
      </c>
    </row>
    <row r="374" spans="1:14" x14ac:dyDescent="0.55000000000000004">
      <c r="A374" s="11">
        <v>45055.4137962963</v>
      </c>
      <c r="B374" s="12" t="s">
        <v>168</v>
      </c>
      <c r="C374" s="12" t="s">
        <v>0</v>
      </c>
      <c r="D374" s="12" t="s">
        <v>153</v>
      </c>
      <c r="E374" s="12" t="s">
        <v>73</v>
      </c>
      <c r="F374" s="12"/>
      <c r="G374" s="12" t="s">
        <v>1</v>
      </c>
      <c r="H374" s="12" t="s">
        <v>10</v>
      </c>
      <c r="I374" s="12" t="s">
        <v>38</v>
      </c>
      <c r="J374" s="12" t="s">
        <v>2</v>
      </c>
      <c r="L374" s="4" t="e">
        <f>(#REF!-#REF!)</f>
        <v>#REF!</v>
      </c>
      <c r="M374" s="3" t="e">
        <f t="shared" si="7"/>
        <v>#REF!</v>
      </c>
      <c r="N374" s="2" t="e">
        <f>IF(#REF!=#REF!,"","Start")</f>
        <v>#REF!</v>
      </c>
    </row>
    <row r="375" spans="1:14" x14ac:dyDescent="0.55000000000000004">
      <c r="A375" s="11">
        <v>45055.4137962963</v>
      </c>
      <c r="B375" s="12" t="s">
        <v>168</v>
      </c>
      <c r="C375" s="12" t="s">
        <v>0</v>
      </c>
      <c r="D375" s="12" t="s">
        <v>153</v>
      </c>
      <c r="E375" s="12" t="s">
        <v>76</v>
      </c>
      <c r="F375" s="12" t="s">
        <v>175</v>
      </c>
      <c r="G375" s="12" t="s">
        <v>1</v>
      </c>
      <c r="H375" s="12" t="s">
        <v>10</v>
      </c>
      <c r="I375" s="12" t="s">
        <v>38</v>
      </c>
      <c r="J375" s="12" t="s">
        <v>2</v>
      </c>
      <c r="L375" s="4" t="e">
        <f>(#REF!-#REF!)</f>
        <v>#REF!</v>
      </c>
      <c r="M375" s="3" t="e">
        <f t="shared" si="7"/>
        <v>#REF!</v>
      </c>
      <c r="N375" s="2" t="e">
        <f>IF(#REF!=#REF!,"","Start")</f>
        <v>#REF!</v>
      </c>
    </row>
    <row r="376" spans="1:14" x14ac:dyDescent="0.55000000000000004">
      <c r="A376" s="11">
        <v>45055.413819444446</v>
      </c>
      <c r="B376" s="12" t="s">
        <v>168</v>
      </c>
      <c r="C376" s="12" t="s">
        <v>0</v>
      </c>
      <c r="D376" s="12" t="s">
        <v>150</v>
      </c>
      <c r="E376" s="12" t="s">
        <v>73</v>
      </c>
      <c r="F376" s="12"/>
      <c r="G376" s="12" t="s">
        <v>1</v>
      </c>
      <c r="H376" s="12" t="s">
        <v>10</v>
      </c>
      <c r="I376" s="12" t="s">
        <v>38</v>
      </c>
      <c r="J376" s="12" t="s">
        <v>2</v>
      </c>
      <c r="L376" s="4" t="e">
        <f>(#REF!-#REF!)</f>
        <v>#REF!</v>
      </c>
      <c r="M376" s="3" t="e">
        <f t="shared" si="7"/>
        <v>#REF!</v>
      </c>
      <c r="N376" s="2" t="e">
        <f>IF(#REF!=#REF!,"","Start")</f>
        <v>#REF!</v>
      </c>
    </row>
    <row r="377" spans="1:14" x14ac:dyDescent="0.55000000000000004">
      <c r="A377" s="11">
        <v>45055.413842592592</v>
      </c>
      <c r="B377" s="12" t="s">
        <v>168</v>
      </c>
      <c r="C377" s="12" t="s">
        <v>0</v>
      </c>
      <c r="D377" s="12" t="s">
        <v>149</v>
      </c>
      <c r="E377" s="12" t="s">
        <v>73</v>
      </c>
      <c r="F377" s="12"/>
      <c r="G377" s="12" t="s">
        <v>1</v>
      </c>
      <c r="H377" s="12" t="s">
        <v>10</v>
      </c>
      <c r="I377" s="12" t="s">
        <v>38</v>
      </c>
      <c r="J377" s="12" t="s">
        <v>2</v>
      </c>
      <c r="L377" s="4" t="e">
        <f>(#REF!-#REF!)</f>
        <v>#REF!</v>
      </c>
      <c r="M377" s="3" t="e">
        <f t="shared" si="7"/>
        <v>#REF!</v>
      </c>
      <c r="N377" s="2" t="e">
        <f>IF(#REF!=#REF!,"","Start")</f>
        <v>#REF!</v>
      </c>
    </row>
    <row r="378" spans="1:14" x14ac:dyDescent="0.55000000000000004">
      <c r="A378" s="11">
        <v>45055.413877314815</v>
      </c>
      <c r="B378" s="12" t="s">
        <v>168</v>
      </c>
      <c r="C378" s="12" t="s">
        <v>0</v>
      </c>
      <c r="D378" s="12" t="s">
        <v>147</v>
      </c>
      <c r="E378" s="12" t="s">
        <v>90</v>
      </c>
      <c r="F378" s="12"/>
      <c r="G378" s="12" t="s">
        <v>1</v>
      </c>
      <c r="H378" s="12" t="s">
        <v>10</v>
      </c>
      <c r="I378" s="12" t="s">
        <v>38</v>
      </c>
      <c r="J378" s="12" t="s">
        <v>2</v>
      </c>
      <c r="L378" s="4" t="e">
        <f>(#REF!-#REF!)</f>
        <v>#REF!</v>
      </c>
      <c r="M378" s="3" t="e">
        <f t="shared" si="7"/>
        <v>#REF!</v>
      </c>
      <c r="N378" s="2" t="e">
        <f>IF(#REF!=#REF!,"","Start")</f>
        <v>#REF!</v>
      </c>
    </row>
    <row r="379" spans="1:14" x14ac:dyDescent="0.55000000000000004">
      <c r="A379" s="11">
        <v>45055.413900462961</v>
      </c>
      <c r="B379" s="12" t="s">
        <v>168</v>
      </c>
      <c r="C379" s="12" t="s">
        <v>0</v>
      </c>
      <c r="D379" s="12" t="s">
        <v>147</v>
      </c>
      <c r="E379" s="12" t="s">
        <v>133</v>
      </c>
      <c r="F379" s="12"/>
      <c r="G379" s="12" t="s">
        <v>1</v>
      </c>
      <c r="H379" s="12" t="s">
        <v>10</v>
      </c>
      <c r="I379" s="12" t="s">
        <v>38</v>
      </c>
      <c r="J379" s="12" t="s">
        <v>2</v>
      </c>
      <c r="L379" s="4" t="e">
        <f>(#REF!-#REF!)</f>
        <v>#REF!</v>
      </c>
      <c r="M379" s="3" t="e">
        <f t="shared" si="7"/>
        <v>#REF!</v>
      </c>
      <c r="N379" s="2" t="e">
        <f>IF(#REF!=#REF!,"","Start")</f>
        <v>#REF!</v>
      </c>
    </row>
    <row r="380" spans="1:14" x14ac:dyDescent="0.55000000000000004">
      <c r="A380" s="11">
        <v>45055.413900462961</v>
      </c>
      <c r="B380" s="12" t="s">
        <v>168</v>
      </c>
      <c r="C380" s="12" t="s">
        <v>0</v>
      </c>
      <c r="D380" s="12" t="s">
        <v>147</v>
      </c>
      <c r="E380" s="12" t="s">
        <v>135</v>
      </c>
      <c r="F380" s="12"/>
      <c r="G380" s="12" t="s">
        <v>1</v>
      </c>
      <c r="H380" s="12" t="s">
        <v>10</v>
      </c>
      <c r="I380" s="12" t="s">
        <v>38</v>
      </c>
      <c r="J380" s="12" t="s">
        <v>2</v>
      </c>
      <c r="L380" s="4" t="e">
        <f>(#REF!-#REF!)</f>
        <v>#REF!</v>
      </c>
      <c r="M380" s="3" t="e">
        <f t="shared" si="7"/>
        <v>#REF!</v>
      </c>
      <c r="N380" s="2" t="e">
        <f>IF(#REF!=#REF!,"","Start")</f>
        <v>#REF!</v>
      </c>
    </row>
    <row r="381" spans="1:14" x14ac:dyDescent="0.55000000000000004">
      <c r="A381" s="11">
        <v>45055.413935185185</v>
      </c>
      <c r="B381" s="12" t="s">
        <v>168</v>
      </c>
      <c r="C381" s="12" t="s">
        <v>0</v>
      </c>
      <c r="D381" s="12" t="s">
        <v>174</v>
      </c>
      <c r="E381" s="12" t="s">
        <v>89</v>
      </c>
      <c r="F381" s="12"/>
      <c r="G381" s="12" t="s">
        <v>1</v>
      </c>
      <c r="H381" s="12" t="s">
        <v>10</v>
      </c>
      <c r="I381" s="12" t="s">
        <v>38</v>
      </c>
      <c r="J381" s="12" t="s">
        <v>2</v>
      </c>
      <c r="L381" s="4" t="e">
        <f>(#REF!-#REF!)</f>
        <v>#REF!</v>
      </c>
      <c r="M381" s="3" t="e">
        <f t="shared" si="7"/>
        <v>#REF!</v>
      </c>
      <c r="N381" s="2" t="e">
        <f>IF(#REF!=#REF!,"","Start")</f>
        <v>#REF!</v>
      </c>
    </row>
    <row r="382" spans="1:14" x14ac:dyDescent="0.55000000000000004">
      <c r="A382" s="11">
        <v>45055.413958333331</v>
      </c>
      <c r="B382" s="12" t="s">
        <v>168</v>
      </c>
      <c r="C382" s="12" t="s">
        <v>0</v>
      </c>
      <c r="D382" s="12" t="s">
        <v>147</v>
      </c>
      <c r="E382" s="12" t="s">
        <v>90</v>
      </c>
      <c r="F382" s="12"/>
      <c r="G382" s="12" t="s">
        <v>1</v>
      </c>
      <c r="H382" s="12" t="s">
        <v>10</v>
      </c>
      <c r="I382" s="12" t="s">
        <v>38</v>
      </c>
      <c r="J382" s="12" t="s">
        <v>2</v>
      </c>
      <c r="L382" s="4" t="e">
        <f>(#REF!-#REF!)</f>
        <v>#REF!</v>
      </c>
      <c r="M382" s="3" t="e">
        <f t="shared" si="7"/>
        <v>#REF!</v>
      </c>
      <c r="N382" s="2" t="e">
        <f>IF(#REF!=#REF!,"","Start")</f>
        <v>#REF!</v>
      </c>
    </row>
    <row r="383" spans="1:14" x14ac:dyDescent="0.55000000000000004">
      <c r="A383" s="11">
        <v>45055.413969907408</v>
      </c>
      <c r="B383" s="12" t="s">
        <v>168</v>
      </c>
      <c r="C383" s="12" t="s">
        <v>0</v>
      </c>
      <c r="D383" s="12" t="s">
        <v>173</v>
      </c>
      <c r="E383" s="12" t="s">
        <v>89</v>
      </c>
      <c r="F383" s="12"/>
      <c r="G383" s="12" t="s">
        <v>1</v>
      </c>
      <c r="H383" s="12" t="s">
        <v>10</v>
      </c>
      <c r="I383" s="12" t="s">
        <v>38</v>
      </c>
      <c r="J383" s="12" t="s">
        <v>2</v>
      </c>
      <c r="L383" s="4" t="e">
        <f>(#REF!-#REF!)</f>
        <v>#REF!</v>
      </c>
      <c r="M383" s="3" t="e">
        <f t="shared" si="7"/>
        <v>#REF!</v>
      </c>
      <c r="N383" s="2" t="e">
        <f>IF(#REF!=#REF!,"","Start")</f>
        <v>#REF!</v>
      </c>
    </row>
    <row r="384" spans="1:14" x14ac:dyDescent="0.55000000000000004">
      <c r="A384" s="11">
        <v>45055.413993055554</v>
      </c>
      <c r="B384" s="12" t="s">
        <v>168</v>
      </c>
      <c r="C384" s="12" t="s">
        <v>0</v>
      </c>
      <c r="D384" s="12" t="s">
        <v>147</v>
      </c>
      <c r="E384" s="12" t="s">
        <v>90</v>
      </c>
      <c r="F384" s="12"/>
      <c r="G384" s="12" t="s">
        <v>1</v>
      </c>
      <c r="H384" s="12" t="s">
        <v>10</v>
      </c>
      <c r="I384" s="12" t="s">
        <v>38</v>
      </c>
      <c r="J384" s="12" t="s">
        <v>2</v>
      </c>
      <c r="L384" s="4" t="e">
        <f>(#REF!-#REF!)</f>
        <v>#REF!</v>
      </c>
      <c r="M384" s="3" t="e">
        <f t="shared" si="7"/>
        <v>#REF!</v>
      </c>
      <c r="N384" s="2" t="e">
        <f>IF(#REF!=#REF!,"","Start")</f>
        <v>#REF!</v>
      </c>
    </row>
    <row r="385" spans="1:14" x14ac:dyDescent="0.55000000000000004">
      <c r="A385" s="11">
        <v>45055.414004629631</v>
      </c>
      <c r="B385" s="12" t="s">
        <v>168</v>
      </c>
      <c r="C385" s="12" t="s">
        <v>0</v>
      </c>
      <c r="D385" s="12" t="s">
        <v>147</v>
      </c>
      <c r="E385" s="12" t="s">
        <v>137</v>
      </c>
      <c r="F385" s="12"/>
      <c r="G385" s="12" t="s">
        <v>1</v>
      </c>
      <c r="H385" s="12" t="s">
        <v>10</v>
      </c>
      <c r="I385" s="12" t="s">
        <v>38</v>
      </c>
      <c r="J385" s="12" t="s">
        <v>2</v>
      </c>
      <c r="L385" s="4" t="e">
        <f>(#REF!-#REF!)</f>
        <v>#REF!</v>
      </c>
      <c r="M385" s="3" t="e">
        <f t="shared" si="7"/>
        <v>#REF!</v>
      </c>
      <c r="N385" s="2" t="e">
        <f>IF(#REF!=#REF!,"","Start")</f>
        <v>#REF!</v>
      </c>
    </row>
    <row r="386" spans="1:14" x14ac:dyDescent="0.55000000000000004">
      <c r="A386" s="11">
        <v>45055.4140162037</v>
      </c>
      <c r="B386" s="12" t="s">
        <v>168</v>
      </c>
      <c r="C386" s="12" t="s">
        <v>0</v>
      </c>
      <c r="D386" s="12" t="s">
        <v>172</v>
      </c>
      <c r="E386" s="12" t="s">
        <v>89</v>
      </c>
      <c r="F386" s="12"/>
      <c r="G386" s="12" t="s">
        <v>1</v>
      </c>
      <c r="H386" s="12" t="s">
        <v>10</v>
      </c>
      <c r="I386" s="12" t="s">
        <v>38</v>
      </c>
      <c r="J386" s="12" t="s">
        <v>2</v>
      </c>
      <c r="L386" s="4" t="e">
        <f>(#REF!-#REF!)</f>
        <v>#REF!</v>
      </c>
      <c r="M386" s="3" t="e">
        <f t="shared" si="7"/>
        <v>#REF!</v>
      </c>
      <c r="N386" s="2" t="e">
        <f>IF(#REF!=#REF!,"","Start")</f>
        <v>#REF!</v>
      </c>
    </row>
    <row r="387" spans="1:14" x14ac:dyDescent="0.55000000000000004">
      <c r="A387" s="11">
        <v>45055.414039351854</v>
      </c>
      <c r="B387" s="12" t="s">
        <v>168</v>
      </c>
      <c r="C387" s="12" t="s">
        <v>0</v>
      </c>
      <c r="D387" s="12" t="s">
        <v>147</v>
      </c>
      <c r="E387" s="12" t="s">
        <v>90</v>
      </c>
      <c r="F387" s="12"/>
      <c r="G387" s="12" t="s">
        <v>1</v>
      </c>
      <c r="H387" s="12" t="s">
        <v>10</v>
      </c>
      <c r="I387" s="12" t="s">
        <v>38</v>
      </c>
      <c r="J387" s="12" t="s">
        <v>2</v>
      </c>
      <c r="L387" s="4" t="e">
        <f>(#REF!-#REF!)</f>
        <v>#REF!</v>
      </c>
      <c r="M387" s="3" t="e">
        <f t="shared" si="7"/>
        <v>#REF!</v>
      </c>
      <c r="N387" s="2" t="e">
        <f>IF(#REF!=#REF!,"","Start")</f>
        <v>#REF!</v>
      </c>
    </row>
    <row r="388" spans="1:14" x14ac:dyDescent="0.55000000000000004">
      <c r="A388" s="11">
        <v>45055.414050925923</v>
      </c>
      <c r="B388" s="12" t="s">
        <v>168</v>
      </c>
      <c r="C388" s="12" t="s">
        <v>0</v>
      </c>
      <c r="D388" s="12" t="s">
        <v>147</v>
      </c>
      <c r="E388" s="12" t="s">
        <v>137</v>
      </c>
      <c r="F388" s="12"/>
      <c r="G388" s="12" t="s">
        <v>1</v>
      </c>
      <c r="H388" s="12" t="s">
        <v>10</v>
      </c>
      <c r="I388" s="12" t="s">
        <v>38</v>
      </c>
      <c r="J388" s="12" t="s">
        <v>2</v>
      </c>
      <c r="L388" s="4" t="e">
        <f>(#REF!-#REF!)</f>
        <v>#REF!</v>
      </c>
      <c r="M388" s="3" t="e">
        <f t="shared" ref="M388:M451" si="8">IF(AND(L388&gt;0, L388&lt;0.0207),L388/Q$1,0)</f>
        <v>#REF!</v>
      </c>
      <c r="N388" s="2" t="e">
        <f>IF(#REF!=#REF!,"","Start")</f>
        <v>#REF!</v>
      </c>
    </row>
    <row r="389" spans="1:14" x14ac:dyDescent="0.55000000000000004">
      <c r="A389" s="11">
        <v>45055.4140625</v>
      </c>
      <c r="B389" s="12" t="s">
        <v>168</v>
      </c>
      <c r="C389" s="12" t="s">
        <v>0</v>
      </c>
      <c r="D389" s="12" t="s">
        <v>147</v>
      </c>
      <c r="E389" s="12" t="s">
        <v>136</v>
      </c>
      <c r="F389" s="12"/>
      <c r="G389" s="12" t="s">
        <v>1</v>
      </c>
      <c r="H389" s="12" t="s">
        <v>10</v>
      </c>
      <c r="I389" s="12" t="s">
        <v>38</v>
      </c>
      <c r="J389" s="12" t="s">
        <v>2</v>
      </c>
      <c r="L389" s="4" t="e">
        <f>(#REF!-#REF!)</f>
        <v>#REF!</v>
      </c>
      <c r="M389" s="3" t="e">
        <f t="shared" si="8"/>
        <v>#REF!</v>
      </c>
      <c r="N389" s="2" t="e">
        <f>IF(#REF!=#REF!,"","Start")</f>
        <v>#REF!</v>
      </c>
    </row>
    <row r="390" spans="1:14" x14ac:dyDescent="0.55000000000000004">
      <c r="A390" s="11">
        <v>45055.414074074077</v>
      </c>
      <c r="B390" s="12" t="s">
        <v>168</v>
      </c>
      <c r="C390" s="12" t="s">
        <v>0</v>
      </c>
      <c r="D390" s="12" t="s">
        <v>148</v>
      </c>
      <c r="E390" s="12" t="s">
        <v>89</v>
      </c>
      <c r="F390" s="12"/>
      <c r="G390" s="12" t="s">
        <v>1</v>
      </c>
      <c r="H390" s="12" t="s">
        <v>10</v>
      </c>
      <c r="I390" s="12" t="s">
        <v>38</v>
      </c>
      <c r="J390" s="12" t="s">
        <v>2</v>
      </c>
      <c r="L390" s="4" t="e">
        <f>(#REF!-#REF!)</f>
        <v>#REF!</v>
      </c>
      <c r="M390" s="3" t="e">
        <f t="shared" si="8"/>
        <v>#REF!</v>
      </c>
      <c r="N390" s="2" t="e">
        <f>IF(#REF!=#REF!,"","Start")</f>
        <v>#REF!</v>
      </c>
    </row>
    <row r="391" spans="1:14" x14ac:dyDescent="0.55000000000000004">
      <c r="A391" s="11">
        <v>45055.414097222223</v>
      </c>
      <c r="B391" s="12" t="s">
        <v>168</v>
      </c>
      <c r="C391" s="12" t="s">
        <v>0</v>
      </c>
      <c r="D391" s="12" t="s">
        <v>147</v>
      </c>
      <c r="E391" s="12" t="s">
        <v>90</v>
      </c>
      <c r="F391" s="12"/>
      <c r="G391" s="12" t="s">
        <v>1</v>
      </c>
      <c r="H391" s="12" t="s">
        <v>10</v>
      </c>
      <c r="I391" s="12" t="s">
        <v>38</v>
      </c>
      <c r="J391" s="12" t="s">
        <v>2</v>
      </c>
      <c r="L391" s="4" t="e">
        <f>(#REF!-#REF!)</f>
        <v>#REF!</v>
      </c>
      <c r="M391" s="3" t="e">
        <f t="shared" si="8"/>
        <v>#REF!</v>
      </c>
      <c r="N391" s="2" t="e">
        <f>IF(#REF!=#REF!,"","Start")</f>
        <v>#REF!</v>
      </c>
    </row>
    <row r="392" spans="1:14" x14ac:dyDescent="0.55000000000000004">
      <c r="A392" s="11">
        <v>45055.4141087963</v>
      </c>
      <c r="B392" s="12" t="s">
        <v>168</v>
      </c>
      <c r="C392" s="12" t="s">
        <v>0</v>
      </c>
      <c r="D392" s="12" t="s">
        <v>147</v>
      </c>
      <c r="E392" s="12" t="s">
        <v>137</v>
      </c>
      <c r="F392" s="12"/>
      <c r="G392" s="12" t="s">
        <v>1</v>
      </c>
      <c r="H392" s="12" t="s">
        <v>10</v>
      </c>
      <c r="I392" s="12" t="s">
        <v>38</v>
      </c>
      <c r="J392" s="12" t="s">
        <v>2</v>
      </c>
      <c r="L392" s="4" t="e">
        <f>(#REF!-#REF!)</f>
        <v>#REF!</v>
      </c>
      <c r="M392" s="3" t="e">
        <f t="shared" si="8"/>
        <v>#REF!</v>
      </c>
      <c r="N392" s="2" t="e">
        <f>IF(#REF!=#REF!,"","Start")</f>
        <v>#REF!</v>
      </c>
    </row>
    <row r="393" spans="1:14" x14ac:dyDescent="0.55000000000000004">
      <c r="A393" s="11">
        <v>45055.414120370369</v>
      </c>
      <c r="B393" s="12" t="s">
        <v>168</v>
      </c>
      <c r="C393" s="12" t="s">
        <v>0</v>
      </c>
      <c r="D393" s="12" t="s">
        <v>147</v>
      </c>
      <c r="E393" s="12" t="s">
        <v>136</v>
      </c>
      <c r="F393" s="12"/>
      <c r="G393" s="12" t="s">
        <v>1</v>
      </c>
      <c r="H393" s="12" t="s">
        <v>10</v>
      </c>
      <c r="I393" s="12" t="s">
        <v>38</v>
      </c>
      <c r="J393" s="12" t="s">
        <v>2</v>
      </c>
      <c r="L393" s="4" t="e">
        <f>(#REF!-#REF!)</f>
        <v>#REF!</v>
      </c>
      <c r="M393" s="3" t="e">
        <f t="shared" si="8"/>
        <v>#REF!</v>
      </c>
      <c r="N393" s="2" t="e">
        <f>IF(#REF!=#REF!,"","Start")</f>
        <v>#REF!</v>
      </c>
    </row>
    <row r="394" spans="1:14" x14ac:dyDescent="0.55000000000000004">
      <c r="A394" s="11">
        <v>45055.414131944446</v>
      </c>
      <c r="B394" s="12" t="s">
        <v>168</v>
      </c>
      <c r="C394" s="12" t="s">
        <v>0</v>
      </c>
      <c r="D394" s="12" t="s">
        <v>147</v>
      </c>
      <c r="E394" s="12" t="s">
        <v>135</v>
      </c>
      <c r="F394" s="12"/>
      <c r="G394" s="12" t="s">
        <v>1</v>
      </c>
      <c r="H394" s="12" t="s">
        <v>10</v>
      </c>
      <c r="I394" s="12" t="s">
        <v>38</v>
      </c>
      <c r="J394" s="12" t="s">
        <v>2</v>
      </c>
      <c r="L394" s="4" t="e">
        <f>(#REF!-#REF!)</f>
        <v>#REF!</v>
      </c>
      <c r="M394" s="3" t="e">
        <f t="shared" si="8"/>
        <v>#REF!</v>
      </c>
      <c r="N394" s="2" t="e">
        <f>IF(#REF!=#REF!,"","Start")</f>
        <v>#REF!</v>
      </c>
    </row>
    <row r="395" spans="1:14" x14ac:dyDescent="0.55000000000000004">
      <c r="A395" s="11">
        <v>45055.414155092592</v>
      </c>
      <c r="B395" s="12" t="s">
        <v>168</v>
      </c>
      <c r="C395" s="12" t="s">
        <v>0</v>
      </c>
      <c r="D395" s="12" t="s">
        <v>171</v>
      </c>
      <c r="E395" s="12" t="s">
        <v>89</v>
      </c>
      <c r="F395" s="12"/>
      <c r="G395" s="12" t="s">
        <v>1</v>
      </c>
      <c r="H395" s="12" t="s">
        <v>10</v>
      </c>
      <c r="I395" s="12" t="s">
        <v>38</v>
      </c>
      <c r="J395" s="12" t="s">
        <v>2</v>
      </c>
      <c r="L395" s="4" t="e">
        <f>(#REF!-#REF!)</f>
        <v>#REF!</v>
      </c>
      <c r="M395" s="3" t="e">
        <f t="shared" si="8"/>
        <v>#REF!</v>
      </c>
      <c r="N395" s="2" t="e">
        <f>IF(#REF!=#REF!,"","Start")</f>
        <v>#REF!</v>
      </c>
    </row>
    <row r="396" spans="1:14" x14ac:dyDescent="0.55000000000000004">
      <c r="A396" s="11">
        <v>45055.414178240739</v>
      </c>
      <c r="B396" s="12" t="s">
        <v>168</v>
      </c>
      <c r="C396" s="12" t="s">
        <v>0</v>
      </c>
      <c r="D396" s="12" t="s">
        <v>147</v>
      </c>
      <c r="E396" s="12" t="s">
        <v>137</v>
      </c>
      <c r="F396" s="12"/>
      <c r="G396" s="12" t="s">
        <v>1</v>
      </c>
      <c r="H396" s="12" t="s">
        <v>10</v>
      </c>
      <c r="I396" s="12" t="s">
        <v>38</v>
      </c>
      <c r="J396" s="12" t="s">
        <v>2</v>
      </c>
      <c r="L396" s="4" t="e">
        <f>(#REF!-#REF!)</f>
        <v>#REF!</v>
      </c>
      <c r="M396" s="3" t="e">
        <f t="shared" si="8"/>
        <v>#REF!</v>
      </c>
      <c r="N396" s="2" t="e">
        <f>IF(#REF!=#REF!,"","Start")</f>
        <v>#REF!</v>
      </c>
    </row>
    <row r="397" spans="1:14" x14ac:dyDescent="0.55000000000000004">
      <c r="A397" s="11">
        <v>45055.414189814815</v>
      </c>
      <c r="B397" s="12" t="s">
        <v>168</v>
      </c>
      <c r="C397" s="12" t="s">
        <v>0</v>
      </c>
      <c r="D397" s="12" t="s">
        <v>147</v>
      </c>
      <c r="E397" s="12" t="s">
        <v>136</v>
      </c>
      <c r="F397" s="12"/>
      <c r="G397" s="12" t="s">
        <v>1</v>
      </c>
      <c r="H397" s="12" t="s">
        <v>10</v>
      </c>
      <c r="I397" s="12" t="s">
        <v>38</v>
      </c>
      <c r="J397" s="12" t="s">
        <v>2</v>
      </c>
      <c r="L397" s="4" t="e">
        <f>(#REF!-#REF!)</f>
        <v>#REF!</v>
      </c>
      <c r="M397" s="3" t="e">
        <f t="shared" si="8"/>
        <v>#REF!</v>
      </c>
      <c r="N397" s="2" t="e">
        <f>IF(#REF!=#REF!,"","Start")</f>
        <v>#REF!</v>
      </c>
    </row>
    <row r="398" spans="1:14" x14ac:dyDescent="0.55000000000000004">
      <c r="A398" s="11">
        <v>45055.414201388892</v>
      </c>
      <c r="B398" s="12" t="s">
        <v>168</v>
      </c>
      <c r="C398" s="12" t="s">
        <v>0</v>
      </c>
      <c r="D398" s="12" t="s">
        <v>148</v>
      </c>
      <c r="E398" s="12" t="s">
        <v>89</v>
      </c>
      <c r="F398" s="12"/>
      <c r="G398" s="12" t="s">
        <v>1</v>
      </c>
      <c r="H398" s="12" t="s">
        <v>10</v>
      </c>
      <c r="I398" s="12" t="s">
        <v>38</v>
      </c>
      <c r="J398" s="12" t="s">
        <v>2</v>
      </c>
      <c r="L398" s="4" t="e">
        <f>(#REF!-#REF!)</f>
        <v>#REF!</v>
      </c>
      <c r="M398" s="3" t="e">
        <f t="shared" si="8"/>
        <v>#REF!</v>
      </c>
      <c r="N398" s="2" t="e">
        <f>IF(#REF!=#REF!,"","Start")</f>
        <v>#REF!</v>
      </c>
    </row>
    <row r="399" spans="1:14" x14ac:dyDescent="0.55000000000000004">
      <c r="A399" s="11">
        <v>45055.414224537039</v>
      </c>
      <c r="B399" s="12" t="s">
        <v>168</v>
      </c>
      <c r="C399" s="12" t="s">
        <v>0</v>
      </c>
      <c r="D399" s="12" t="s">
        <v>147</v>
      </c>
      <c r="E399" s="12" t="s">
        <v>71</v>
      </c>
      <c r="F399" s="12"/>
      <c r="G399" s="12" t="s">
        <v>1</v>
      </c>
      <c r="H399" s="12" t="s">
        <v>10</v>
      </c>
      <c r="I399" s="12" t="s">
        <v>38</v>
      </c>
      <c r="J399" s="12" t="s">
        <v>2</v>
      </c>
      <c r="L399" s="4" t="e">
        <f>(#REF!-#REF!)</f>
        <v>#REF!</v>
      </c>
      <c r="M399" s="3" t="e">
        <f t="shared" si="8"/>
        <v>#REF!</v>
      </c>
      <c r="N399" s="2" t="e">
        <f>IF(#REF!=#REF!,"","Start")</f>
        <v>#REF!</v>
      </c>
    </row>
    <row r="400" spans="1:14" x14ac:dyDescent="0.55000000000000004">
      <c r="A400" s="11">
        <v>45055.414259259262</v>
      </c>
      <c r="B400" s="12" t="s">
        <v>168</v>
      </c>
      <c r="C400" s="12" t="s">
        <v>0</v>
      </c>
      <c r="D400" s="12" t="s">
        <v>68</v>
      </c>
      <c r="E400" s="12" t="s">
        <v>69</v>
      </c>
      <c r="F400" s="12"/>
      <c r="G400" s="12" t="s">
        <v>1</v>
      </c>
      <c r="H400" s="12" t="s">
        <v>10</v>
      </c>
      <c r="I400" s="12" t="s">
        <v>38</v>
      </c>
      <c r="J400" s="12" t="s">
        <v>2</v>
      </c>
      <c r="L400" s="4" t="e">
        <f>(#REF!-#REF!)</f>
        <v>#REF!</v>
      </c>
      <c r="M400" s="3" t="e">
        <f t="shared" si="8"/>
        <v>#REF!</v>
      </c>
      <c r="N400" s="2" t="e">
        <f>IF(#REF!=#REF!,"","Start")</f>
        <v>#REF!</v>
      </c>
    </row>
    <row r="401" spans="1:14" x14ac:dyDescent="0.55000000000000004">
      <c r="A401" s="11">
        <v>45055.414282407408</v>
      </c>
      <c r="B401" s="12" t="s">
        <v>168</v>
      </c>
      <c r="C401" s="12" t="s">
        <v>0</v>
      </c>
      <c r="D401" s="12" t="s">
        <v>65</v>
      </c>
      <c r="E401" s="12" t="s">
        <v>170</v>
      </c>
      <c r="F401" s="12"/>
      <c r="G401" s="12" t="s">
        <v>1</v>
      </c>
      <c r="H401" s="12" t="s">
        <v>10</v>
      </c>
      <c r="I401" s="12" t="s">
        <v>38</v>
      </c>
      <c r="J401" s="12" t="s">
        <v>2</v>
      </c>
      <c r="L401" s="4" t="e">
        <f>(#REF!-#REF!)</f>
        <v>#REF!</v>
      </c>
      <c r="M401" s="3" t="e">
        <f t="shared" si="8"/>
        <v>#REF!</v>
      </c>
      <c r="N401" s="2" t="e">
        <f>IF(#REF!=#REF!,"","Start")</f>
        <v>#REF!</v>
      </c>
    </row>
    <row r="402" spans="1:14" x14ac:dyDescent="0.55000000000000004">
      <c r="A402" s="11">
        <v>45055.414293981485</v>
      </c>
      <c r="B402" s="12" t="s">
        <v>168</v>
      </c>
      <c r="C402" s="12" t="s">
        <v>0</v>
      </c>
      <c r="D402" s="12" t="s">
        <v>65</v>
      </c>
      <c r="E402" s="12" t="s">
        <v>66</v>
      </c>
      <c r="F402" s="12"/>
      <c r="G402" s="12" t="s">
        <v>1</v>
      </c>
      <c r="H402" s="12" t="s">
        <v>10</v>
      </c>
      <c r="I402" s="12" t="s">
        <v>38</v>
      </c>
      <c r="J402" s="12" t="s">
        <v>2</v>
      </c>
      <c r="L402" s="4" t="e">
        <f>(#REF!-#REF!)</f>
        <v>#REF!</v>
      </c>
      <c r="M402" s="3" t="e">
        <f t="shared" si="8"/>
        <v>#REF!</v>
      </c>
      <c r="N402" s="2" t="e">
        <f>IF(#REF!=#REF!,"","Start")</f>
        <v>#REF!</v>
      </c>
    </row>
    <row r="403" spans="1:14" x14ac:dyDescent="0.55000000000000004">
      <c r="A403" s="11">
        <v>45055.414305555554</v>
      </c>
      <c r="B403" s="12" t="s">
        <v>168</v>
      </c>
      <c r="C403" s="12" t="s">
        <v>0</v>
      </c>
      <c r="D403" s="12" t="s">
        <v>65</v>
      </c>
      <c r="E403" s="12" t="s">
        <v>3</v>
      </c>
      <c r="F403" s="12"/>
      <c r="G403" s="12" t="s">
        <v>1</v>
      </c>
      <c r="H403" s="12" t="s">
        <v>10</v>
      </c>
      <c r="I403" s="12" t="s">
        <v>38</v>
      </c>
      <c r="J403" s="12" t="s">
        <v>2</v>
      </c>
      <c r="L403" s="4" t="e">
        <f>(#REF!-#REF!)</f>
        <v>#REF!</v>
      </c>
      <c r="M403" s="3" t="e">
        <f t="shared" si="8"/>
        <v>#REF!</v>
      </c>
      <c r="N403" s="2" t="e">
        <f>IF(#REF!=#REF!,"","Start")</f>
        <v>#REF!</v>
      </c>
    </row>
    <row r="404" spans="1:14" x14ac:dyDescent="0.55000000000000004">
      <c r="A404" s="11">
        <v>45055.414317129631</v>
      </c>
      <c r="B404" s="12" t="s">
        <v>168</v>
      </c>
      <c r="C404" s="12" t="s">
        <v>0</v>
      </c>
      <c r="D404" s="12" t="s">
        <v>62</v>
      </c>
      <c r="E404" s="12" t="s">
        <v>131</v>
      </c>
      <c r="F404" s="12"/>
      <c r="G404" s="12" t="s">
        <v>1</v>
      </c>
      <c r="H404" s="12" t="s">
        <v>10</v>
      </c>
      <c r="I404" s="12" t="s">
        <v>38</v>
      </c>
      <c r="J404" s="12" t="s">
        <v>2</v>
      </c>
      <c r="L404" s="4" t="e">
        <f>(#REF!-#REF!)</f>
        <v>#REF!</v>
      </c>
      <c r="M404" s="3" t="e">
        <f t="shared" si="8"/>
        <v>#REF!</v>
      </c>
      <c r="N404" s="2" t="e">
        <f>IF(#REF!=#REF!,"","Start")</f>
        <v>#REF!</v>
      </c>
    </row>
    <row r="405" spans="1:14" x14ac:dyDescent="0.55000000000000004">
      <c r="A405" s="11">
        <v>45055.4143287037</v>
      </c>
      <c r="B405" s="12" t="s">
        <v>168</v>
      </c>
      <c r="C405" s="12" t="s">
        <v>0</v>
      </c>
      <c r="D405" s="12" t="s">
        <v>62</v>
      </c>
      <c r="E405" s="12" t="s">
        <v>63</v>
      </c>
      <c r="F405" s="12"/>
      <c r="G405" s="12" t="s">
        <v>1</v>
      </c>
      <c r="H405" s="12" t="s">
        <v>10</v>
      </c>
      <c r="I405" s="12" t="s">
        <v>38</v>
      </c>
      <c r="J405" s="12" t="s">
        <v>2</v>
      </c>
      <c r="L405" s="4" t="e">
        <f>(#REF!-#REF!)</f>
        <v>#REF!</v>
      </c>
      <c r="M405" s="3" t="e">
        <f t="shared" si="8"/>
        <v>#REF!</v>
      </c>
      <c r="N405" s="2" t="e">
        <f>IF(#REF!=#REF!,"","Start")</f>
        <v>#REF!</v>
      </c>
    </row>
    <row r="406" spans="1:14" x14ac:dyDescent="0.55000000000000004">
      <c r="A406" s="11">
        <v>45055.414340277777</v>
      </c>
      <c r="B406" s="12" t="s">
        <v>168</v>
      </c>
      <c r="C406" s="12" t="s">
        <v>0</v>
      </c>
      <c r="D406" s="12" t="s">
        <v>62</v>
      </c>
      <c r="E406" s="12" t="s">
        <v>3</v>
      </c>
      <c r="F406" s="12"/>
      <c r="G406" s="12" t="s">
        <v>1</v>
      </c>
      <c r="H406" s="12" t="s">
        <v>10</v>
      </c>
      <c r="I406" s="12" t="s">
        <v>38</v>
      </c>
      <c r="J406" s="12" t="s">
        <v>2</v>
      </c>
      <c r="L406" s="4" t="e">
        <f>(#REF!-#REF!)</f>
        <v>#REF!</v>
      </c>
      <c r="M406" s="3" t="e">
        <f t="shared" si="8"/>
        <v>#REF!</v>
      </c>
      <c r="N406" s="2" t="e">
        <f>IF(#REF!=#REF!,"","Start")</f>
        <v>#REF!</v>
      </c>
    </row>
    <row r="407" spans="1:14" x14ac:dyDescent="0.55000000000000004">
      <c r="A407" s="11">
        <v>45055.414363425924</v>
      </c>
      <c r="B407" s="12" t="s">
        <v>168</v>
      </c>
      <c r="C407" s="12" t="s">
        <v>0</v>
      </c>
      <c r="D407" s="12" t="s">
        <v>59</v>
      </c>
      <c r="E407" s="12" t="s">
        <v>60</v>
      </c>
      <c r="F407" s="12"/>
      <c r="G407" s="12" t="s">
        <v>1</v>
      </c>
      <c r="H407" s="12" t="s">
        <v>10</v>
      </c>
      <c r="I407" s="12" t="s">
        <v>38</v>
      </c>
      <c r="J407" s="12" t="s">
        <v>2</v>
      </c>
      <c r="L407" s="4" t="e">
        <f>(#REF!-#REF!)</f>
        <v>#REF!</v>
      </c>
      <c r="M407" s="3" t="e">
        <f t="shared" si="8"/>
        <v>#REF!</v>
      </c>
      <c r="N407" s="2" t="e">
        <f>IF(#REF!=#REF!,"","Start")</f>
        <v>#REF!</v>
      </c>
    </row>
    <row r="408" spans="1:14" x14ac:dyDescent="0.55000000000000004">
      <c r="A408" s="11">
        <v>45055.414363425924</v>
      </c>
      <c r="B408" s="12" t="s">
        <v>168</v>
      </c>
      <c r="C408" s="12" t="s">
        <v>0</v>
      </c>
      <c r="D408" s="12" t="s">
        <v>59</v>
      </c>
      <c r="E408" s="12" t="s">
        <v>61</v>
      </c>
      <c r="F408" s="12"/>
      <c r="G408" s="12" t="s">
        <v>1</v>
      </c>
      <c r="H408" s="12" t="s">
        <v>10</v>
      </c>
      <c r="I408" s="12" t="s">
        <v>38</v>
      </c>
      <c r="J408" s="12" t="s">
        <v>2</v>
      </c>
      <c r="L408" s="4" t="e">
        <f>(#REF!-#REF!)</f>
        <v>#REF!</v>
      </c>
      <c r="M408" s="3" t="e">
        <f t="shared" si="8"/>
        <v>#REF!</v>
      </c>
      <c r="N408" s="2" t="e">
        <f>IF(#REF!=#REF!,"","Start")</f>
        <v>#REF!</v>
      </c>
    </row>
    <row r="409" spans="1:14" x14ac:dyDescent="0.55000000000000004">
      <c r="A409" s="11">
        <v>45055.414375</v>
      </c>
      <c r="B409" s="12" t="s">
        <v>168</v>
      </c>
      <c r="C409" s="12" t="s">
        <v>0</v>
      </c>
      <c r="D409" s="12" t="s">
        <v>59</v>
      </c>
      <c r="E409" s="12" t="s">
        <v>3</v>
      </c>
      <c r="F409" s="12"/>
      <c r="G409" s="12" t="s">
        <v>1</v>
      </c>
      <c r="H409" s="12" t="s">
        <v>10</v>
      </c>
      <c r="I409" s="12" t="s">
        <v>38</v>
      </c>
      <c r="J409" s="12" t="s">
        <v>2</v>
      </c>
      <c r="L409" s="4" t="e">
        <f>(#REF!-#REF!)</f>
        <v>#REF!</v>
      </c>
      <c r="M409" s="3" t="e">
        <f t="shared" si="8"/>
        <v>#REF!</v>
      </c>
      <c r="N409" s="2" t="e">
        <f>IF(#REF!=#REF!,"","Start")</f>
        <v>#REF!</v>
      </c>
    </row>
    <row r="410" spans="1:14" x14ac:dyDescent="0.55000000000000004">
      <c r="A410" s="11">
        <v>45055.414398148147</v>
      </c>
      <c r="B410" s="12" t="s">
        <v>168</v>
      </c>
      <c r="C410" s="12" t="s">
        <v>0</v>
      </c>
      <c r="D410" s="12" t="s">
        <v>56</v>
      </c>
      <c r="E410" s="12" t="s">
        <v>58</v>
      </c>
      <c r="F410" s="12"/>
      <c r="G410" s="12" t="s">
        <v>1</v>
      </c>
      <c r="H410" s="12" t="s">
        <v>10</v>
      </c>
      <c r="I410" s="12" t="s">
        <v>38</v>
      </c>
      <c r="J410" s="12" t="s">
        <v>2</v>
      </c>
      <c r="L410" s="4" t="e">
        <f>(#REF!-#REF!)</f>
        <v>#REF!</v>
      </c>
      <c r="M410" s="3" t="e">
        <f t="shared" si="8"/>
        <v>#REF!</v>
      </c>
      <c r="N410" s="2" t="e">
        <f>IF(#REF!=#REF!,"","Start")</f>
        <v>#REF!</v>
      </c>
    </row>
    <row r="411" spans="1:14" x14ac:dyDescent="0.55000000000000004">
      <c r="A411" s="11">
        <v>45055.414409722223</v>
      </c>
      <c r="B411" s="12" t="s">
        <v>168</v>
      </c>
      <c r="C411" s="12" t="s">
        <v>0</v>
      </c>
      <c r="D411" s="12" t="s">
        <v>56</v>
      </c>
      <c r="E411" s="12" t="s">
        <v>3</v>
      </c>
      <c r="F411" s="12"/>
      <c r="G411" s="12" t="s">
        <v>1</v>
      </c>
      <c r="H411" s="12" t="s">
        <v>10</v>
      </c>
      <c r="I411" s="12" t="s">
        <v>38</v>
      </c>
      <c r="J411" s="12" t="s">
        <v>2</v>
      </c>
      <c r="L411" s="4" t="e">
        <f>(#REF!-#REF!)</f>
        <v>#REF!</v>
      </c>
      <c r="M411" s="3" t="e">
        <f t="shared" si="8"/>
        <v>#REF!</v>
      </c>
      <c r="N411" s="2" t="e">
        <f>IF(#REF!=#REF!,"","Start")</f>
        <v>#REF!</v>
      </c>
    </row>
    <row r="412" spans="1:14" x14ac:dyDescent="0.55000000000000004">
      <c r="A412" s="11">
        <v>45055.414409722223</v>
      </c>
      <c r="B412" s="12" t="s">
        <v>168</v>
      </c>
      <c r="C412" s="12" t="s">
        <v>0</v>
      </c>
      <c r="D412" s="12" t="s">
        <v>56</v>
      </c>
      <c r="E412" s="12" t="s">
        <v>115</v>
      </c>
      <c r="F412" s="12"/>
      <c r="G412" s="12" t="s">
        <v>1</v>
      </c>
      <c r="H412" s="12" t="s">
        <v>10</v>
      </c>
      <c r="I412" s="12" t="s">
        <v>38</v>
      </c>
      <c r="J412" s="12" t="s">
        <v>2</v>
      </c>
      <c r="L412" s="4" t="e">
        <f>(#REF!-#REF!)</f>
        <v>#REF!</v>
      </c>
      <c r="M412" s="3" t="e">
        <f t="shared" si="8"/>
        <v>#REF!</v>
      </c>
      <c r="N412" s="2" t="e">
        <f>IF(#REF!=#REF!,"","Start")</f>
        <v>#REF!</v>
      </c>
    </row>
    <row r="413" spans="1:14" x14ac:dyDescent="0.55000000000000004">
      <c r="A413" s="11">
        <v>45055.41443287037</v>
      </c>
      <c r="B413" s="12" t="s">
        <v>168</v>
      </c>
      <c r="C413" s="12" t="s">
        <v>0</v>
      </c>
      <c r="D413" s="12" t="s">
        <v>52</v>
      </c>
      <c r="E413" s="12" t="s">
        <v>55</v>
      </c>
      <c r="F413" s="12" t="s">
        <v>43</v>
      </c>
      <c r="G413" s="12" t="s">
        <v>1</v>
      </c>
      <c r="H413" s="12" t="s">
        <v>10</v>
      </c>
      <c r="I413" s="12" t="s">
        <v>38</v>
      </c>
      <c r="J413" s="12" t="s">
        <v>2</v>
      </c>
      <c r="L413" s="4" t="e">
        <f>(#REF!-#REF!)</f>
        <v>#REF!</v>
      </c>
      <c r="M413" s="3" t="e">
        <f t="shared" si="8"/>
        <v>#REF!</v>
      </c>
      <c r="N413" s="2" t="e">
        <f>IF(#REF!=#REF!,"","Start")</f>
        <v>#REF!</v>
      </c>
    </row>
    <row r="414" spans="1:14" x14ac:dyDescent="0.55000000000000004">
      <c r="A414" s="11">
        <v>45055.414444444446</v>
      </c>
      <c r="B414" s="12" t="s">
        <v>168</v>
      </c>
      <c r="C414" s="12" t="s">
        <v>0</v>
      </c>
      <c r="D414" s="12" t="s">
        <v>52</v>
      </c>
      <c r="E414" s="12" t="s">
        <v>54</v>
      </c>
      <c r="F414" s="12" t="s">
        <v>43</v>
      </c>
      <c r="G414" s="12" t="s">
        <v>1</v>
      </c>
      <c r="H414" s="12" t="s">
        <v>10</v>
      </c>
      <c r="I414" s="12" t="s">
        <v>38</v>
      </c>
      <c r="J414" s="12" t="s">
        <v>2</v>
      </c>
      <c r="L414" s="4" t="e">
        <f>(#REF!-#REF!)</f>
        <v>#REF!</v>
      </c>
      <c r="M414" s="3" t="e">
        <f t="shared" si="8"/>
        <v>#REF!</v>
      </c>
      <c r="N414" s="2" t="e">
        <f>IF(#REF!=#REF!,"","Start")</f>
        <v>#REF!</v>
      </c>
    </row>
    <row r="415" spans="1:14" x14ac:dyDescent="0.55000000000000004">
      <c r="A415" s="11">
        <v>45055.414456018516</v>
      </c>
      <c r="B415" s="12" t="s">
        <v>168</v>
      </c>
      <c r="C415" s="12" t="s">
        <v>0</v>
      </c>
      <c r="D415" s="12" t="s">
        <v>52</v>
      </c>
      <c r="E415" s="12" t="s">
        <v>53</v>
      </c>
      <c r="F415" s="12" t="s">
        <v>43</v>
      </c>
      <c r="G415" s="12" t="s">
        <v>1</v>
      </c>
      <c r="H415" s="12" t="s">
        <v>10</v>
      </c>
      <c r="I415" s="12" t="s">
        <v>38</v>
      </c>
      <c r="J415" s="12" t="s">
        <v>2</v>
      </c>
      <c r="L415" s="4" t="e">
        <f>(#REF!-#REF!)</f>
        <v>#REF!</v>
      </c>
      <c r="M415" s="3" t="e">
        <f t="shared" si="8"/>
        <v>#REF!</v>
      </c>
      <c r="N415" s="2" t="e">
        <f>IF(#REF!=#REF!,"","Start")</f>
        <v>#REF!</v>
      </c>
    </row>
    <row r="416" spans="1:14" x14ac:dyDescent="0.55000000000000004">
      <c r="A416" s="11">
        <v>45055.414467592593</v>
      </c>
      <c r="B416" s="12" t="s">
        <v>168</v>
      </c>
      <c r="C416" s="12" t="s">
        <v>0</v>
      </c>
      <c r="D416" s="12" t="s">
        <v>52</v>
      </c>
      <c r="E416" s="12" t="s">
        <v>3</v>
      </c>
      <c r="F416" s="12"/>
      <c r="G416" s="12" t="s">
        <v>1</v>
      </c>
      <c r="H416" s="12" t="s">
        <v>10</v>
      </c>
      <c r="I416" s="12" t="s">
        <v>38</v>
      </c>
      <c r="J416" s="12" t="s">
        <v>2</v>
      </c>
      <c r="L416" s="4" t="e">
        <f>(#REF!-#REF!)</f>
        <v>#REF!</v>
      </c>
      <c r="M416" s="3" t="e">
        <f t="shared" si="8"/>
        <v>#REF!</v>
      </c>
      <c r="N416" s="2" t="e">
        <f>IF(#REF!=#REF!,"","Start")</f>
        <v>#REF!</v>
      </c>
    </row>
    <row r="417" spans="1:14" x14ac:dyDescent="0.55000000000000004">
      <c r="A417" s="11">
        <v>45055.414490740739</v>
      </c>
      <c r="B417" s="12" t="s">
        <v>168</v>
      </c>
      <c r="C417" s="12" t="s">
        <v>0</v>
      </c>
      <c r="D417" s="12" t="s">
        <v>49</v>
      </c>
      <c r="E417" s="12" t="s">
        <v>51</v>
      </c>
      <c r="F417" s="12" t="s">
        <v>43</v>
      </c>
      <c r="G417" s="12" t="s">
        <v>1</v>
      </c>
      <c r="H417" s="12" t="s">
        <v>10</v>
      </c>
      <c r="I417" s="12" t="s">
        <v>38</v>
      </c>
      <c r="J417" s="12" t="s">
        <v>2</v>
      </c>
      <c r="L417" s="4" t="e">
        <f>(#REF!-#REF!)</f>
        <v>#REF!</v>
      </c>
      <c r="M417" s="3" t="e">
        <f t="shared" si="8"/>
        <v>#REF!</v>
      </c>
      <c r="N417" s="2" t="e">
        <f>IF(#REF!=#REF!,"","Start")</f>
        <v>#REF!</v>
      </c>
    </row>
    <row r="418" spans="1:14" x14ac:dyDescent="0.55000000000000004">
      <c r="A418" s="11">
        <v>45055.414513888885</v>
      </c>
      <c r="B418" s="12" t="s">
        <v>168</v>
      </c>
      <c r="C418" s="12" t="s">
        <v>0</v>
      </c>
      <c r="D418" s="12" t="s">
        <v>49</v>
      </c>
      <c r="E418" s="12" t="s">
        <v>50</v>
      </c>
      <c r="F418" s="12" t="s">
        <v>43</v>
      </c>
      <c r="G418" s="12" t="s">
        <v>1</v>
      </c>
      <c r="H418" s="12" t="s">
        <v>10</v>
      </c>
      <c r="I418" s="12" t="s">
        <v>38</v>
      </c>
      <c r="J418" s="12" t="s">
        <v>2</v>
      </c>
      <c r="L418" s="4" t="e">
        <f>(#REF!-#REF!)</f>
        <v>#REF!</v>
      </c>
      <c r="M418" s="3" t="e">
        <f t="shared" si="8"/>
        <v>#REF!</v>
      </c>
      <c r="N418" s="2" t="e">
        <f>IF(#REF!=#REF!,"","Start")</f>
        <v>#REF!</v>
      </c>
    </row>
    <row r="419" spans="1:14" x14ac:dyDescent="0.55000000000000004">
      <c r="A419" s="11">
        <v>45055.414537037039</v>
      </c>
      <c r="B419" s="12" t="s">
        <v>168</v>
      </c>
      <c r="C419" s="12" t="s">
        <v>0</v>
      </c>
      <c r="D419" s="12" t="s">
        <v>49</v>
      </c>
      <c r="E419" s="12" t="s">
        <v>3</v>
      </c>
      <c r="F419" s="12"/>
      <c r="G419" s="12" t="s">
        <v>1</v>
      </c>
      <c r="H419" s="12" t="s">
        <v>10</v>
      </c>
      <c r="I419" s="12" t="s">
        <v>38</v>
      </c>
      <c r="J419" s="12" t="s">
        <v>2</v>
      </c>
      <c r="L419" s="4" t="e">
        <f>(#REF!-#REF!)</f>
        <v>#REF!</v>
      </c>
      <c r="M419" s="3" t="e">
        <f t="shared" si="8"/>
        <v>#REF!</v>
      </c>
      <c r="N419" s="2" t="e">
        <f>IF(#REF!=#REF!,"","Start")</f>
        <v>#REF!</v>
      </c>
    </row>
    <row r="420" spans="1:14" x14ac:dyDescent="0.55000000000000004">
      <c r="A420" s="11">
        <v>45055.414548611108</v>
      </c>
      <c r="B420" s="12" t="s">
        <v>168</v>
      </c>
      <c r="C420" s="12" t="s">
        <v>0</v>
      </c>
      <c r="D420" s="12" t="s">
        <v>46</v>
      </c>
      <c r="E420" s="12" t="s">
        <v>169</v>
      </c>
      <c r="F420" s="12" t="s">
        <v>43</v>
      </c>
      <c r="G420" s="12" t="s">
        <v>1</v>
      </c>
      <c r="H420" s="12" t="s">
        <v>10</v>
      </c>
      <c r="I420" s="12" t="s">
        <v>38</v>
      </c>
      <c r="J420" s="12" t="s">
        <v>2</v>
      </c>
      <c r="L420" s="4" t="e">
        <f>(#REF!-#REF!)</f>
        <v>#REF!</v>
      </c>
      <c r="M420" s="3" t="e">
        <f t="shared" si="8"/>
        <v>#REF!</v>
      </c>
      <c r="N420" s="2" t="e">
        <f>IF(#REF!=#REF!,"","Start")</f>
        <v>#REF!</v>
      </c>
    </row>
    <row r="421" spans="1:14" x14ac:dyDescent="0.55000000000000004">
      <c r="A421" s="11">
        <v>45055.414560185185</v>
      </c>
      <c r="B421" s="12" t="s">
        <v>168</v>
      </c>
      <c r="C421" s="12" t="s">
        <v>0</v>
      </c>
      <c r="D421" s="12" t="s">
        <v>46</v>
      </c>
      <c r="E421" s="12" t="s">
        <v>47</v>
      </c>
      <c r="F421" s="12" t="s">
        <v>43</v>
      </c>
      <c r="G421" s="12" t="s">
        <v>1</v>
      </c>
      <c r="H421" s="12" t="s">
        <v>10</v>
      </c>
      <c r="I421" s="12" t="s">
        <v>38</v>
      </c>
      <c r="J421" s="12" t="s">
        <v>2</v>
      </c>
      <c r="L421" s="4" t="e">
        <f>(#REF!-#REF!)</f>
        <v>#REF!</v>
      </c>
      <c r="M421" s="3" t="e">
        <f t="shared" si="8"/>
        <v>#REF!</v>
      </c>
      <c r="N421" s="2" t="e">
        <f>IF(#REF!=#REF!,"","Start")</f>
        <v>#REF!</v>
      </c>
    </row>
    <row r="422" spans="1:14" x14ac:dyDescent="0.55000000000000004">
      <c r="A422" s="11">
        <v>45055.414571759262</v>
      </c>
      <c r="B422" s="12" t="s">
        <v>168</v>
      </c>
      <c r="C422" s="12" t="s">
        <v>0</v>
      </c>
      <c r="D422" s="12" t="s">
        <v>46</v>
      </c>
      <c r="E422" s="12" t="s">
        <v>3</v>
      </c>
      <c r="F422" s="12"/>
      <c r="G422" s="12" t="s">
        <v>1</v>
      </c>
      <c r="H422" s="12" t="s">
        <v>10</v>
      </c>
      <c r="I422" s="12" t="s">
        <v>38</v>
      </c>
      <c r="J422" s="12" t="s">
        <v>2</v>
      </c>
      <c r="L422" s="4" t="e">
        <f>(#REF!-#REF!)</f>
        <v>#REF!</v>
      </c>
      <c r="M422" s="3" t="e">
        <f t="shared" si="8"/>
        <v>#REF!</v>
      </c>
      <c r="N422" s="2" t="e">
        <f>IF(#REF!=#REF!,"","Start")</f>
        <v>#REF!</v>
      </c>
    </row>
    <row r="423" spans="1:14" x14ac:dyDescent="0.55000000000000004">
      <c r="A423" s="11">
        <v>45055.414594907408</v>
      </c>
      <c r="B423" s="12" t="s">
        <v>168</v>
      </c>
      <c r="C423" s="12" t="s">
        <v>0</v>
      </c>
      <c r="D423" s="12" t="s">
        <v>44</v>
      </c>
      <c r="E423" s="12" t="s">
        <v>111</v>
      </c>
      <c r="F423" s="12" t="s">
        <v>43</v>
      </c>
      <c r="G423" s="12" t="s">
        <v>1</v>
      </c>
      <c r="H423" s="12" t="s">
        <v>10</v>
      </c>
      <c r="I423" s="12" t="s">
        <v>38</v>
      </c>
      <c r="J423" s="12" t="s">
        <v>2</v>
      </c>
      <c r="L423" s="4" t="e">
        <f>(#REF!-#REF!)</f>
        <v>#REF!</v>
      </c>
      <c r="M423" s="3" t="e">
        <f t="shared" si="8"/>
        <v>#REF!</v>
      </c>
      <c r="N423" s="2" t="e">
        <f>IF(#REF!=#REF!,"","Start")</f>
        <v>#REF!</v>
      </c>
    </row>
    <row r="424" spans="1:14" x14ac:dyDescent="0.55000000000000004">
      <c r="A424" s="11">
        <v>45055.414606481485</v>
      </c>
      <c r="B424" s="12" t="s">
        <v>168</v>
      </c>
      <c r="C424" s="12" t="s">
        <v>0</v>
      </c>
      <c r="D424" s="12" t="s">
        <v>44</v>
      </c>
      <c r="E424" s="12" t="s">
        <v>3</v>
      </c>
      <c r="F424" s="12"/>
      <c r="G424" s="12" t="s">
        <v>1</v>
      </c>
      <c r="H424" s="12" t="s">
        <v>10</v>
      </c>
      <c r="I424" s="12" t="s">
        <v>38</v>
      </c>
      <c r="J424" s="12" t="s">
        <v>2</v>
      </c>
      <c r="L424" s="4" t="e">
        <f>(#REF!-#REF!)</f>
        <v>#REF!</v>
      </c>
      <c r="M424" s="3" t="e">
        <f t="shared" si="8"/>
        <v>#REF!</v>
      </c>
      <c r="N424" s="2" t="e">
        <f>IF(#REF!=#REF!,"","Start")</f>
        <v>#REF!</v>
      </c>
    </row>
    <row r="425" spans="1:14" x14ac:dyDescent="0.55000000000000004">
      <c r="A425" s="11">
        <v>45055.414629629631</v>
      </c>
      <c r="B425" s="12" t="s">
        <v>168</v>
      </c>
      <c r="C425" s="12" t="s">
        <v>0</v>
      </c>
      <c r="D425" s="12" t="s">
        <v>41</v>
      </c>
      <c r="E425" s="12" t="s">
        <v>110</v>
      </c>
      <c r="F425" s="12" t="s">
        <v>43</v>
      </c>
      <c r="G425" s="12" t="s">
        <v>1</v>
      </c>
      <c r="H425" s="12" t="s">
        <v>10</v>
      </c>
      <c r="I425" s="12" t="s">
        <v>38</v>
      </c>
      <c r="J425" s="12" t="s">
        <v>2</v>
      </c>
      <c r="L425" s="4" t="e">
        <f>(#REF!-#REF!)</f>
        <v>#REF!</v>
      </c>
      <c r="M425" s="3" t="e">
        <f t="shared" si="8"/>
        <v>#REF!</v>
      </c>
      <c r="N425" s="2" t="e">
        <f>IF(#REF!=#REF!,"","Start")</f>
        <v>#REF!</v>
      </c>
    </row>
    <row r="426" spans="1:14" x14ac:dyDescent="0.55000000000000004">
      <c r="A426" s="11">
        <v>45055.414641203701</v>
      </c>
      <c r="B426" s="12" t="s">
        <v>168</v>
      </c>
      <c r="C426" s="12" t="s">
        <v>0</v>
      </c>
      <c r="D426" s="12" t="s">
        <v>41</v>
      </c>
      <c r="E426" s="12" t="s">
        <v>3</v>
      </c>
      <c r="F426" s="12"/>
      <c r="G426" s="12" t="s">
        <v>1</v>
      </c>
      <c r="H426" s="12" t="s">
        <v>10</v>
      </c>
      <c r="I426" s="12" t="s">
        <v>38</v>
      </c>
      <c r="J426" s="12" t="s">
        <v>2</v>
      </c>
      <c r="L426" s="4" t="e">
        <f>(#REF!-#REF!)</f>
        <v>#REF!</v>
      </c>
      <c r="M426" s="3" t="e">
        <f t="shared" si="8"/>
        <v>#REF!</v>
      </c>
      <c r="N426" s="2" t="e">
        <f>IF(#REF!=#REF!,"","Start")</f>
        <v>#REF!</v>
      </c>
    </row>
    <row r="427" spans="1:14" x14ac:dyDescent="0.55000000000000004">
      <c r="A427" s="11">
        <v>45055.414675925924</v>
      </c>
      <c r="B427" s="12" t="s">
        <v>168</v>
      </c>
      <c r="C427" s="12" t="s">
        <v>0</v>
      </c>
      <c r="D427" s="12" t="s">
        <v>36</v>
      </c>
      <c r="E427" s="12" t="s">
        <v>37</v>
      </c>
      <c r="F427" s="12"/>
      <c r="G427" s="12" t="s">
        <v>1</v>
      </c>
      <c r="H427" s="12" t="s">
        <v>10</v>
      </c>
      <c r="I427" s="12" t="s">
        <v>38</v>
      </c>
      <c r="J427" s="12" t="s">
        <v>2</v>
      </c>
      <c r="L427" s="4" t="e">
        <f>(#REF!-#REF!)</f>
        <v>#REF!</v>
      </c>
      <c r="M427" s="3" t="e">
        <f t="shared" si="8"/>
        <v>#REF!</v>
      </c>
      <c r="N427" s="2" t="e">
        <f>IF(#REF!=#REF!,"","Start")</f>
        <v>#REF!</v>
      </c>
    </row>
    <row r="428" spans="1:14" x14ac:dyDescent="0.55000000000000004">
      <c r="A428" s="11">
        <v>45055.414849537039</v>
      </c>
      <c r="B428" s="12" t="s">
        <v>168</v>
      </c>
      <c r="C428" s="12" t="s">
        <v>0</v>
      </c>
      <c r="D428" s="12" t="s">
        <v>125</v>
      </c>
      <c r="E428" s="12" t="s">
        <v>5</v>
      </c>
      <c r="F428" s="12"/>
      <c r="G428" s="12" t="s">
        <v>1</v>
      </c>
      <c r="H428" s="12" t="s">
        <v>10</v>
      </c>
      <c r="I428" s="12" t="s">
        <v>38</v>
      </c>
      <c r="J428" s="12" t="s">
        <v>2</v>
      </c>
      <c r="L428" s="4" t="e">
        <f>(#REF!-#REF!)</f>
        <v>#REF!</v>
      </c>
      <c r="M428" s="3" t="e">
        <f t="shared" si="8"/>
        <v>#REF!</v>
      </c>
      <c r="N428" s="2" t="e">
        <f>IF(#REF!=#REF!,"","Start")</f>
        <v>#REF!</v>
      </c>
    </row>
    <row r="429" spans="1:14" x14ac:dyDescent="0.55000000000000004">
      <c r="A429" s="11">
        <v>45055.423020833332</v>
      </c>
      <c r="B429" s="12" t="s">
        <v>167</v>
      </c>
      <c r="C429" s="12" t="s">
        <v>0</v>
      </c>
      <c r="D429" s="12" t="s">
        <v>34</v>
      </c>
      <c r="E429" s="12" t="s">
        <v>5</v>
      </c>
      <c r="F429" s="12"/>
      <c r="G429" s="12" t="s">
        <v>1</v>
      </c>
      <c r="H429" s="12" t="s">
        <v>109</v>
      </c>
      <c r="I429" s="12" t="s">
        <v>140</v>
      </c>
      <c r="J429" s="12" t="s">
        <v>2</v>
      </c>
      <c r="L429" s="4" t="e">
        <f>(#REF!-#REF!)</f>
        <v>#REF!</v>
      </c>
      <c r="M429" s="3" t="e">
        <f t="shared" si="8"/>
        <v>#REF!</v>
      </c>
      <c r="N429" s="2" t="e">
        <f>IF(#REF!=#REF!,"","Start")</f>
        <v>#REF!</v>
      </c>
    </row>
    <row r="430" spans="1:14" x14ac:dyDescent="0.55000000000000004">
      <c r="A430" s="11">
        <v>45055.423055555555</v>
      </c>
      <c r="B430" s="12" t="s">
        <v>167</v>
      </c>
      <c r="C430" s="12" t="s">
        <v>0</v>
      </c>
      <c r="D430" s="12" t="s">
        <v>33</v>
      </c>
      <c r="E430" s="12" t="s">
        <v>4</v>
      </c>
      <c r="F430" s="12"/>
      <c r="G430" s="12" t="s">
        <v>1</v>
      </c>
      <c r="H430" s="12" t="s">
        <v>109</v>
      </c>
      <c r="I430" s="12" t="s">
        <v>140</v>
      </c>
      <c r="J430" s="12" t="s">
        <v>2</v>
      </c>
      <c r="L430" s="4" t="e">
        <f>(#REF!-#REF!)</f>
        <v>#REF!</v>
      </c>
      <c r="M430" s="3" t="e">
        <f t="shared" si="8"/>
        <v>#REF!</v>
      </c>
      <c r="N430" s="2" t="e">
        <f>IF(#REF!=#REF!,"","Start")</f>
        <v>#REF!</v>
      </c>
    </row>
    <row r="431" spans="1:14" x14ac:dyDescent="0.55000000000000004">
      <c r="A431" s="11">
        <v>45055.423078703701</v>
      </c>
      <c r="B431" s="12" t="s">
        <v>167</v>
      </c>
      <c r="C431" s="12" t="s">
        <v>0</v>
      </c>
      <c r="D431" s="12" t="s">
        <v>32</v>
      </c>
      <c r="E431" s="12" t="s">
        <v>3</v>
      </c>
      <c r="F431" s="12"/>
      <c r="G431" s="12" t="s">
        <v>1</v>
      </c>
      <c r="H431" s="12" t="s">
        <v>109</v>
      </c>
      <c r="I431" s="12" t="s">
        <v>140</v>
      </c>
      <c r="J431" s="12" t="s">
        <v>2</v>
      </c>
      <c r="L431" s="4" t="e">
        <f>(#REF!-#REF!)</f>
        <v>#REF!</v>
      </c>
      <c r="M431" s="3" t="e">
        <f t="shared" si="8"/>
        <v>#REF!</v>
      </c>
      <c r="N431" s="2" t="e">
        <f>IF(#REF!=#REF!,"","Start")</f>
        <v>#REF!</v>
      </c>
    </row>
    <row r="432" spans="1:14" x14ac:dyDescent="0.55000000000000004">
      <c r="A432" s="11">
        <v>45055.423078703701</v>
      </c>
      <c r="B432" s="12" t="s">
        <v>167</v>
      </c>
      <c r="C432" s="12" t="s">
        <v>0</v>
      </c>
      <c r="D432" s="12" t="s">
        <v>32</v>
      </c>
      <c r="E432" s="12" t="s">
        <v>7</v>
      </c>
      <c r="F432" s="12"/>
      <c r="G432" s="12" t="s">
        <v>1</v>
      </c>
      <c r="H432" s="12" t="s">
        <v>109</v>
      </c>
      <c r="I432" s="12" t="s">
        <v>140</v>
      </c>
      <c r="J432" s="12" t="s">
        <v>2</v>
      </c>
      <c r="L432" s="4" t="e">
        <f>(#REF!-#REF!)</f>
        <v>#REF!</v>
      </c>
      <c r="M432" s="3" t="e">
        <f t="shared" si="8"/>
        <v>#REF!</v>
      </c>
      <c r="N432" s="2" t="e">
        <f>IF(#REF!=#REF!,"","Start")</f>
        <v>#REF!</v>
      </c>
    </row>
    <row r="433" spans="1:14" x14ac:dyDescent="0.55000000000000004">
      <c r="A433" s="11">
        <v>45055.423101851855</v>
      </c>
      <c r="B433" s="12" t="s">
        <v>165</v>
      </c>
      <c r="C433" s="12" t="s">
        <v>0</v>
      </c>
      <c r="D433" s="12" t="s">
        <v>31</v>
      </c>
      <c r="E433" s="12" t="s">
        <v>3</v>
      </c>
      <c r="F433" s="12"/>
      <c r="G433" s="12" t="s">
        <v>1</v>
      </c>
      <c r="H433" s="12" t="s">
        <v>109</v>
      </c>
      <c r="I433" s="12" t="s">
        <v>140</v>
      </c>
      <c r="J433" s="12" t="s">
        <v>2</v>
      </c>
      <c r="L433" s="4" t="e">
        <f>(#REF!-#REF!)</f>
        <v>#REF!</v>
      </c>
      <c r="M433" s="3" t="e">
        <f t="shared" si="8"/>
        <v>#REF!</v>
      </c>
      <c r="N433" s="2" t="e">
        <f>IF(#REF!=#REF!,"","Start")</f>
        <v>#REF!</v>
      </c>
    </row>
    <row r="434" spans="1:14" x14ac:dyDescent="0.55000000000000004">
      <c r="A434" s="11">
        <v>45055.423101851855</v>
      </c>
      <c r="B434" s="12" t="s">
        <v>166</v>
      </c>
      <c r="C434" s="12" t="s">
        <v>0</v>
      </c>
      <c r="D434" s="12" t="s">
        <v>31</v>
      </c>
      <c r="E434" s="12" t="s">
        <v>102</v>
      </c>
      <c r="F434" s="12"/>
      <c r="G434" s="12" t="s">
        <v>1</v>
      </c>
      <c r="H434" s="12" t="s">
        <v>109</v>
      </c>
      <c r="I434" s="12" t="s">
        <v>140</v>
      </c>
      <c r="J434" s="12" t="s">
        <v>2</v>
      </c>
      <c r="L434" s="4" t="e">
        <f>(#REF!-#REF!)</f>
        <v>#REF!</v>
      </c>
      <c r="M434" s="3" t="e">
        <f t="shared" si="8"/>
        <v>#REF!</v>
      </c>
      <c r="N434" s="2" t="e">
        <f>IF(#REF!=#REF!,"","Start")</f>
        <v>#REF!</v>
      </c>
    </row>
    <row r="435" spans="1:14" x14ac:dyDescent="0.55000000000000004">
      <c r="A435" s="11">
        <v>45055.423113425924</v>
      </c>
      <c r="B435" s="12" t="s">
        <v>139</v>
      </c>
      <c r="C435" s="12" t="s">
        <v>0</v>
      </c>
      <c r="D435" s="12" t="s">
        <v>30</v>
      </c>
      <c r="E435" s="12" t="s">
        <v>101</v>
      </c>
      <c r="F435" s="12"/>
      <c r="G435" s="12" t="s">
        <v>1</v>
      </c>
      <c r="H435" s="12" t="s">
        <v>109</v>
      </c>
      <c r="I435" s="12" t="s">
        <v>140</v>
      </c>
      <c r="J435" s="12" t="s">
        <v>2</v>
      </c>
      <c r="L435" s="4" t="e">
        <f>(#REF!-#REF!)</f>
        <v>#REF!</v>
      </c>
      <c r="M435" s="3" t="e">
        <f t="shared" si="8"/>
        <v>#REF!</v>
      </c>
      <c r="N435" s="2" t="e">
        <f>IF(#REF!=#REF!,"","Start")</f>
        <v>#REF!</v>
      </c>
    </row>
    <row r="436" spans="1:14" x14ac:dyDescent="0.55000000000000004">
      <c r="A436" s="11">
        <v>45055.423125000001</v>
      </c>
      <c r="B436" s="12" t="s">
        <v>139</v>
      </c>
      <c r="C436" s="12" t="s">
        <v>0</v>
      </c>
      <c r="D436" s="12" t="s">
        <v>30</v>
      </c>
      <c r="E436" s="12" t="s">
        <v>3</v>
      </c>
      <c r="F436" s="12"/>
      <c r="G436" s="12" t="s">
        <v>1</v>
      </c>
      <c r="H436" s="12" t="s">
        <v>109</v>
      </c>
      <c r="I436" s="12" t="s">
        <v>140</v>
      </c>
      <c r="J436" s="12" t="s">
        <v>2</v>
      </c>
      <c r="L436" s="4" t="e">
        <f>(#REF!-#REF!)</f>
        <v>#REF!</v>
      </c>
      <c r="M436" s="3" t="e">
        <f t="shared" si="8"/>
        <v>#REF!</v>
      </c>
      <c r="N436" s="2" t="e">
        <f>IF(#REF!=#REF!,"","Start")</f>
        <v>#REF!</v>
      </c>
    </row>
    <row r="437" spans="1:14" x14ac:dyDescent="0.55000000000000004">
      <c r="A437" s="11">
        <v>45055.423148148147</v>
      </c>
      <c r="B437" s="12" t="s">
        <v>139</v>
      </c>
      <c r="C437" s="12" t="s">
        <v>12</v>
      </c>
      <c r="D437" s="12" t="s">
        <v>29</v>
      </c>
      <c r="E437" s="12" t="s">
        <v>13</v>
      </c>
      <c r="F437" s="12" t="s">
        <v>164</v>
      </c>
      <c r="G437" s="12" t="s">
        <v>1</v>
      </c>
      <c r="H437" s="12" t="s">
        <v>109</v>
      </c>
      <c r="I437" s="12" t="s">
        <v>140</v>
      </c>
      <c r="J437" s="12" t="s">
        <v>2</v>
      </c>
      <c r="L437" s="4" t="e">
        <f>(#REF!-#REF!)</f>
        <v>#REF!</v>
      </c>
      <c r="M437" s="3" t="e">
        <f t="shared" si="8"/>
        <v>#REF!</v>
      </c>
      <c r="N437" s="2" t="e">
        <f>IF(#REF!=#REF!,"","Start")</f>
        <v>#REF!</v>
      </c>
    </row>
    <row r="438" spans="1:14" x14ac:dyDescent="0.55000000000000004">
      <c r="A438" s="11">
        <v>45055.423148148147</v>
      </c>
      <c r="B438" s="12" t="s">
        <v>139</v>
      </c>
      <c r="C438" s="12" t="s">
        <v>0</v>
      </c>
      <c r="D438" s="12" t="s">
        <v>29</v>
      </c>
      <c r="E438" s="12" t="s">
        <v>3</v>
      </c>
      <c r="F438" s="12"/>
      <c r="G438" s="12" t="s">
        <v>1</v>
      </c>
      <c r="H438" s="12" t="s">
        <v>109</v>
      </c>
      <c r="I438" s="12" t="s">
        <v>140</v>
      </c>
      <c r="J438" s="12" t="s">
        <v>2</v>
      </c>
      <c r="L438" s="4" t="e">
        <f>(#REF!-#REF!)</f>
        <v>#REF!</v>
      </c>
      <c r="M438" s="3" t="e">
        <f t="shared" si="8"/>
        <v>#REF!</v>
      </c>
      <c r="N438" s="2" t="e">
        <f>IF(#REF!=#REF!,"","Start")</f>
        <v>#REF!</v>
      </c>
    </row>
    <row r="439" spans="1:14" x14ac:dyDescent="0.55000000000000004">
      <c r="A439" s="11">
        <v>45055.423171296294</v>
      </c>
      <c r="B439" s="12" t="s">
        <v>139</v>
      </c>
      <c r="C439" s="12" t="s">
        <v>0</v>
      </c>
      <c r="D439" s="12" t="s">
        <v>28</v>
      </c>
      <c r="E439" s="12" t="s">
        <v>3</v>
      </c>
      <c r="F439" s="12"/>
      <c r="G439" s="12" t="s">
        <v>1</v>
      </c>
      <c r="H439" s="12" t="s">
        <v>109</v>
      </c>
      <c r="I439" s="12" t="s">
        <v>140</v>
      </c>
      <c r="J439" s="12" t="s">
        <v>2</v>
      </c>
      <c r="L439" s="4" t="e">
        <f>(#REF!-#REF!)</f>
        <v>#REF!</v>
      </c>
      <c r="M439" s="3" t="e">
        <f t="shared" si="8"/>
        <v>#REF!</v>
      </c>
      <c r="N439" s="2" t="e">
        <f>IF(#REF!=#REF!,"","Start")</f>
        <v>#REF!</v>
      </c>
    </row>
    <row r="440" spans="1:14" x14ac:dyDescent="0.55000000000000004">
      <c r="A440" s="11">
        <v>45055.423171296294</v>
      </c>
      <c r="B440" s="12" t="s">
        <v>139</v>
      </c>
      <c r="C440" s="12" t="s">
        <v>0</v>
      </c>
      <c r="D440" s="12" t="s">
        <v>28</v>
      </c>
      <c r="E440" s="12" t="s">
        <v>26</v>
      </c>
      <c r="F440" s="12"/>
      <c r="G440" s="12" t="s">
        <v>1</v>
      </c>
      <c r="H440" s="12" t="s">
        <v>109</v>
      </c>
      <c r="I440" s="12" t="s">
        <v>140</v>
      </c>
      <c r="J440" s="12" t="s">
        <v>2</v>
      </c>
      <c r="L440" s="4" t="e">
        <f>(#REF!-#REF!)</f>
        <v>#REF!</v>
      </c>
      <c r="M440" s="3" t="e">
        <f t="shared" si="8"/>
        <v>#REF!</v>
      </c>
      <c r="N440" s="2" t="e">
        <f>IF(#REF!=#REF!,"","Start")</f>
        <v>#REF!</v>
      </c>
    </row>
    <row r="441" spans="1:14" x14ac:dyDescent="0.55000000000000004">
      <c r="A441" s="11">
        <v>45055.423194444447</v>
      </c>
      <c r="B441" s="12" t="s">
        <v>139</v>
      </c>
      <c r="C441" s="12" t="s">
        <v>0</v>
      </c>
      <c r="D441" s="12" t="s">
        <v>95</v>
      </c>
      <c r="E441" s="12" t="s">
        <v>122</v>
      </c>
      <c r="F441" s="12"/>
      <c r="G441" s="12" t="s">
        <v>1</v>
      </c>
      <c r="H441" s="12" t="s">
        <v>109</v>
      </c>
      <c r="I441" s="12" t="s">
        <v>140</v>
      </c>
      <c r="J441" s="12" t="s">
        <v>2</v>
      </c>
      <c r="L441" s="4" t="e">
        <f>(#REF!-#REF!)</f>
        <v>#REF!</v>
      </c>
      <c r="M441" s="3" t="e">
        <f t="shared" si="8"/>
        <v>#REF!</v>
      </c>
      <c r="N441" s="2" t="e">
        <f>IF(#REF!=#REF!,"","Start")</f>
        <v>#REF!</v>
      </c>
    </row>
    <row r="442" spans="1:14" x14ac:dyDescent="0.55000000000000004">
      <c r="A442" s="11">
        <v>45055.423206018517</v>
      </c>
      <c r="B442" s="12" t="s">
        <v>139</v>
      </c>
      <c r="C442" s="12" t="s">
        <v>0</v>
      </c>
      <c r="D442" s="12" t="s">
        <v>95</v>
      </c>
      <c r="E442" s="12" t="s">
        <v>3</v>
      </c>
      <c r="F442" s="12"/>
      <c r="G442" s="12" t="s">
        <v>1</v>
      </c>
      <c r="H442" s="12" t="s">
        <v>109</v>
      </c>
      <c r="I442" s="12" t="s">
        <v>140</v>
      </c>
      <c r="J442" s="12" t="s">
        <v>2</v>
      </c>
      <c r="L442" s="4" t="e">
        <f>(#REF!-#REF!)</f>
        <v>#REF!</v>
      </c>
      <c r="M442" s="3" t="e">
        <f t="shared" si="8"/>
        <v>#REF!</v>
      </c>
      <c r="N442" s="2" t="e">
        <f>IF(#REF!=#REF!,"","Start")</f>
        <v>#REF!</v>
      </c>
    </row>
    <row r="443" spans="1:14" x14ac:dyDescent="0.55000000000000004">
      <c r="A443" s="11">
        <v>45055.42324074074</v>
      </c>
      <c r="B443" s="12" t="s">
        <v>139</v>
      </c>
      <c r="C443" s="12" t="s">
        <v>0</v>
      </c>
      <c r="D443" s="12" t="s">
        <v>93</v>
      </c>
      <c r="E443" s="12" t="s">
        <v>94</v>
      </c>
      <c r="F443" s="12"/>
      <c r="G443" s="12" t="s">
        <v>1</v>
      </c>
      <c r="H443" s="12" t="s">
        <v>109</v>
      </c>
      <c r="I443" s="12" t="s">
        <v>140</v>
      </c>
      <c r="J443" s="12" t="s">
        <v>2</v>
      </c>
      <c r="L443" s="4" t="e">
        <f>(#REF!-#REF!)</f>
        <v>#REF!</v>
      </c>
      <c r="M443" s="3" t="e">
        <f t="shared" si="8"/>
        <v>#REF!</v>
      </c>
      <c r="N443" s="2" t="e">
        <f>IF(#REF!=#REF!,"","Start")</f>
        <v>#REF!</v>
      </c>
    </row>
    <row r="444" spans="1:14" x14ac:dyDescent="0.55000000000000004">
      <c r="A444" s="11">
        <v>45055.423252314817</v>
      </c>
      <c r="B444" s="12" t="s">
        <v>139</v>
      </c>
      <c r="C444" s="12" t="s">
        <v>0</v>
      </c>
      <c r="D444" s="12" t="s">
        <v>91</v>
      </c>
      <c r="E444" s="12" t="s">
        <v>163</v>
      </c>
      <c r="F444" s="12"/>
      <c r="G444" s="12" t="s">
        <v>1</v>
      </c>
      <c r="H444" s="12" t="s">
        <v>109</v>
      </c>
      <c r="I444" s="12" t="s">
        <v>140</v>
      </c>
      <c r="J444" s="12" t="s">
        <v>2</v>
      </c>
      <c r="L444" s="4" t="e">
        <f>(#REF!-#REF!)</f>
        <v>#REF!</v>
      </c>
      <c r="M444" s="3" t="e">
        <f t="shared" si="8"/>
        <v>#REF!</v>
      </c>
      <c r="N444" s="2" t="e">
        <f>IF(#REF!=#REF!,"","Start")</f>
        <v>#REF!</v>
      </c>
    </row>
    <row r="445" spans="1:14" x14ac:dyDescent="0.55000000000000004">
      <c r="A445" s="11">
        <v>45055.423275462963</v>
      </c>
      <c r="B445" s="12" t="s">
        <v>139</v>
      </c>
      <c r="C445" s="12" t="s">
        <v>0</v>
      </c>
      <c r="D445" s="12" t="s">
        <v>162</v>
      </c>
      <c r="E445" s="12" t="s">
        <v>155</v>
      </c>
      <c r="F445" s="12"/>
      <c r="G445" s="12" t="s">
        <v>1</v>
      </c>
      <c r="H445" s="12" t="s">
        <v>109</v>
      </c>
      <c r="I445" s="12" t="s">
        <v>140</v>
      </c>
      <c r="J445" s="12" t="s">
        <v>2</v>
      </c>
      <c r="L445" s="4" t="e">
        <f>(#REF!-#REF!)</f>
        <v>#REF!</v>
      </c>
      <c r="M445" s="3" t="e">
        <f t="shared" si="8"/>
        <v>#REF!</v>
      </c>
      <c r="N445" s="2" t="e">
        <f>IF(#REF!=#REF!,"","Start")</f>
        <v>#REF!</v>
      </c>
    </row>
    <row r="446" spans="1:14" x14ac:dyDescent="0.55000000000000004">
      <c r="A446" s="11">
        <v>45055.423321759263</v>
      </c>
      <c r="B446" s="12" t="s">
        <v>139</v>
      </c>
      <c r="C446" s="12" t="s">
        <v>0</v>
      </c>
      <c r="D446" s="12" t="s">
        <v>162</v>
      </c>
      <c r="E446" s="12" t="s">
        <v>155</v>
      </c>
      <c r="F446" s="12"/>
      <c r="G446" s="12" t="s">
        <v>1</v>
      </c>
      <c r="H446" s="12" t="s">
        <v>109</v>
      </c>
      <c r="I446" s="12" t="s">
        <v>140</v>
      </c>
      <c r="J446" s="12" t="s">
        <v>2</v>
      </c>
      <c r="L446" s="4" t="e">
        <f>(#REF!-#REF!)</f>
        <v>#REF!</v>
      </c>
      <c r="M446" s="3" t="e">
        <f t="shared" si="8"/>
        <v>#REF!</v>
      </c>
      <c r="N446" s="2" t="e">
        <f>IF(#REF!=#REF!,"","Start")</f>
        <v>#REF!</v>
      </c>
    </row>
    <row r="447" spans="1:14" x14ac:dyDescent="0.55000000000000004">
      <c r="A447" s="11">
        <v>45055.423333333332</v>
      </c>
      <c r="B447" s="12" t="s">
        <v>139</v>
      </c>
      <c r="C447" s="12" t="s">
        <v>0</v>
      </c>
      <c r="D447" s="12" t="s">
        <v>162</v>
      </c>
      <c r="E447" s="12" t="s">
        <v>154</v>
      </c>
      <c r="F447" s="12"/>
      <c r="G447" s="12" t="s">
        <v>1</v>
      </c>
      <c r="H447" s="12" t="s">
        <v>109</v>
      </c>
      <c r="I447" s="12" t="s">
        <v>140</v>
      </c>
      <c r="J447" s="12" t="s">
        <v>2</v>
      </c>
      <c r="L447" s="4" t="e">
        <f>(#REF!-#REF!)</f>
        <v>#REF!</v>
      </c>
      <c r="M447" s="3" t="e">
        <f t="shared" si="8"/>
        <v>#REF!</v>
      </c>
      <c r="N447" s="2" t="e">
        <f>IF(#REF!=#REF!,"","Start")</f>
        <v>#REF!</v>
      </c>
    </row>
    <row r="448" spans="1:14" x14ac:dyDescent="0.55000000000000004">
      <c r="A448" s="11">
        <v>45055.423518518517</v>
      </c>
      <c r="B448" s="12" t="s">
        <v>139</v>
      </c>
      <c r="C448" s="12" t="s">
        <v>0</v>
      </c>
      <c r="D448" s="12" t="s">
        <v>162</v>
      </c>
      <c r="E448" s="12" t="s">
        <v>132</v>
      </c>
      <c r="F448" s="12"/>
      <c r="G448" s="12" t="s">
        <v>1</v>
      </c>
      <c r="H448" s="12" t="s">
        <v>109</v>
      </c>
      <c r="I448" s="12" t="s">
        <v>140</v>
      </c>
      <c r="J448" s="12" t="s">
        <v>2</v>
      </c>
      <c r="L448" s="4" t="e">
        <f>(#REF!-#REF!)</f>
        <v>#REF!</v>
      </c>
      <c r="M448" s="3" t="e">
        <f t="shared" si="8"/>
        <v>#REF!</v>
      </c>
      <c r="N448" s="2" t="e">
        <f>IF(#REF!=#REF!,"","Start")</f>
        <v>#REF!</v>
      </c>
    </row>
    <row r="449" spans="1:14" x14ac:dyDescent="0.55000000000000004">
      <c r="A449" s="11">
        <v>45055.423541666663</v>
      </c>
      <c r="B449" s="12" t="s">
        <v>139</v>
      </c>
      <c r="C449" s="12" t="s">
        <v>0</v>
      </c>
      <c r="D449" s="12" t="s">
        <v>120</v>
      </c>
      <c r="E449" s="12" t="s">
        <v>121</v>
      </c>
      <c r="F449" s="12"/>
      <c r="G449" s="12" t="s">
        <v>1</v>
      </c>
      <c r="H449" s="12" t="s">
        <v>109</v>
      </c>
      <c r="I449" s="12" t="s">
        <v>140</v>
      </c>
      <c r="J449" s="12" t="s">
        <v>2</v>
      </c>
      <c r="L449" s="4" t="e">
        <f>(#REF!-#REF!)</f>
        <v>#REF!</v>
      </c>
      <c r="M449" s="3" t="e">
        <f t="shared" si="8"/>
        <v>#REF!</v>
      </c>
      <c r="N449" s="2" t="e">
        <f>IF(#REF!=#REF!,"","Start")</f>
        <v>#REF!</v>
      </c>
    </row>
    <row r="450" spans="1:14" x14ac:dyDescent="0.55000000000000004">
      <c r="A450" s="11">
        <v>45055.423564814817</v>
      </c>
      <c r="B450" s="12" t="s">
        <v>139</v>
      </c>
      <c r="C450" s="12" t="s">
        <v>0</v>
      </c>
      <c r="D450" s="12" t="s">
        <v>162</v>
      </c>
      <c r="E450" s="12" t="s">
        <v>73</v>
      </c>
      <c r="F450" s="12"/>
      <c r="G450" s="12" t="s">
        <v>1</v>
      </c>
      <c r="H450" s="12" t="s">
        <v>109</v>
      </c>
      <c r="I450" s="12" t="s">
        <v>140</v>
      </c>
      <c r="J450" s="12" t="s">
        <v>2</v>
      </c>
      <c r="L450" s="4" t="e">
        <f>(#REF!-#REF!)</f>
        <v>#REF!</v>
      </c>
      <c r="M450" s="3" t="e">
        <f t="shared" si="8"/>
        <v>#REF!</v>
      </c>
      <c r="N450" s="2" t="e">
        <f>IF(#REF!=#REF!,"","Start")</f>
        <v>#REF!</v>
      </c>
    </row>
    <row r="451" spans="1:14" x14ac:dyDescent="0.55000000000000004">
      <c r="A451" s="11">
        <v>45055.423611111109</v>
      </c>
      <c r="B451" s="12" t="s">
        <v>139</v>
      </c>
      <c r="C451" s="12" t="s">
        <v>0</v>
      </c>
      <c r="D451" s="12" t="s">
        <v>158</v>
      </c>
      <c r="E451" s="12" t="s">
        <v>161</v>
      </c>
      <c r="F451" s="12" t="s">
        <v>43</v>
      </c>
      <c r="G451" s="12" t="s">
        <v>1</v>
      </c>
      <c r="H451" s="12" t="s">
        <v>109</v>
      </c>
      <c r="I451" s="12" t="s">
        <v>140</v>
      </c>
      <c r="J451" s="12" t="s">
        <v>2</v>
      </c>
      <c r="L451" s="4" t="e">
        <f>(#REF!-#REF!)</f>
        <v>#REF!</v>
      </c>
      <c r="M451" s="3" t="e">
        <f t="shared" si="8"/>
        <v>#REF!</v>
      </c>
      <c r="N451" s="2" t="e">
        <f>IF(#REF!=#REF!,"","Start")</f>
        <v>#REF!</v>
      </c>
    </row>
    <row r="452" spans="1:14" x14ac:dyDescent="0.55000000000000004">
      <c r="A452" s="11">
        <v>45055.423622685186</v>
      </c>
      <c r="B452" s="12" t="s">
        <v>139</v>
      </c>
      <c r="C452" s="12" t="s">
        <v>0</v>
      </c>
      <c r="D452" s="12" t="s">
        <v>158</v>
      </c>
      <c r="E452" s="12" t="s">
        <v>159</v>
      </c>
      <c r="F452" s="12" t="s">
        <v>160</v>
      </c>
      <c r="G452" s="12" t="s">
        <v>1</v>
      </c>
      <c r="H452" s="12" t="s">
        <v>109</v>
      </c>
      <c r="I452" s="12" t="s">
        <v>140</v>
      </c>
      <c r="J452" s="12" t="s">
        <v>2</v>
      </c>
      <c r="L452" s="4" t="e">
        <f>(#REF!-#REF!)</f>
        <v>#REF!</v>
      </c>
      <c r="M452" s="3" t="e">
        <f t="shared" ref="M452:M501" si="9">IF(AND(L452&gt;0, L452&lt;0.0207),L452/Q$1,0)</f>
        <v>#REF!</v>
      </c>
      <c r="N452" s="2" t="e">
        <f>IF(#REF!=#REF!,"","Start")</f>
        <v>#REF!</v>
      </c>
    </row>
    <row r="453" spans="1:14" x14ac:dyDescent="0.55000000000000004">
      <c r="A453" s="11">
        <v>45055.423657407409</v>
      </c>
      <c r="B453" s="12" t="s">
        <v>139</v>
      </c>
      <c r="C453" s="12" t="s">
        <v>0</v>
      </c>
      <c r="D453" s="12" t="s">
        <v>158</v>
      </c>
      <c r="E453" s="12" t="s">
        <v>152</v>
      </c>
      <c r="F453" s="12" t="s">
        <v>43</v>
      </c>
      <c r="G453" s="12" t="s">
        <v>1</v>
      </c>
      <c r="H453" s="12" t="s">
        <v>109</v>
      </c>
      <c r="I453" s="12" t="s">
        <v>140</v>
      </c>
      <c r="J453" s="12" t="s">
        <v>2</v>
      </c>
      <c r="L453" s="4" t="e">
        <f>(#REF!-#REF!)</f>
        <v>#REF!</v>
      </c>
      <c r="M453" s="3" t="e">
        <f t="shared" si="9"/>
        <v>#REF!</v>
      </c>
      <c r="N453" s="2" t="e">
        <f>IF(#REF!=#REF!,"","Start")</f>
        <v>#REF!</v>
      </c>
    </row>
    <row r="454" spans="1:14" x14ac:dyDescent="0.55000000000000004">
      <c r="A454" s="11">
        <v>45055.423668981479</v>
      </c>
      <c r="B454" s="12" t="s">
        <v>139</v>
      </c>
      <c r="C454" s="12" t="s">
        <v>0</v>
      </c>
      <c r="D454" s="12" t="s">
        <v>158</v>
      </c>
      <c r="E454" s="12" t="s">
        <v>73</v>
      </c>
      <c r="F454" s="12"/>
      <c r="G454" s="12" t="s">
        <v>1</v>
      </c>
      <c r="H454" s="12" t="s">
        <v>109</v>
      </c>
      <c r="I454" s="12" t="s">
        <v>140</v>
      </c>
      <c r="J454" s="12" t="s">
        <v>2</v>
      </c>
      <c r="L454" s="4" t="e">
        <f>(#REF!-#REF!)</f>
        <v>#REF!</v>
      </c>
      <c r="M454" s="3" t="e">
        <f t="shared" si="9"/>
        <v>#REF!</v>
      </c>
      <c r="N454" s="2" t="e">
        <f>IF(#REF!=#REF!,"","Start")</f>
        <v>#REF!</v>
      </c>
    </row>
    <row r="455" spans="1:14" x14ac:dyDescent="0.55000000000000004">
      <c r="A455" s="11">
        <v>45055.423692129632</v>
      </c>
      <c r="B455" s="12" t="s">
        <v>139</v>
      </c>
      <c r="C455" s="12" t="s">
        <v>0</v>
      </c>
      <c r="D455" s="12" t="s">
        <v>157</v>
      </c>
      <c r="E455" s="12" t="s">
        <v>80</v>
      </c>
      <c r="F455" s="12"/>
      <c r="G455" s="12" t="s">
        <v>1</v>
      </c>
      <c r="H455" s="12" t="s">
        <v>109</v>
      </c>
      <c r="I455" s="12" t="s">
        <v>140</v>
      </c>
      <c r="J455" s="12" t="s">
        <v>2</v>
      </c>
      <c r="L455" s="4" t="e">
        <f>(#REF!-#REF!)</f>
        <v>#REF!</v>
      </c>
      <c r="M455" s="3" t="e">
        <f t="shared" si="9"/>
        <v>#REF!</v>
      </c>
      <c r="N455" s="2" t="e">
        <f>IF(#REF!=#REF!,"","Start")</f>
        <v>#REF!</v>
      </c>
    </row>
    <row r="456" spans="1:14" x14ac:dyDescent="0.55000000000000004">
      <c r="A456" s="11">
        <v>45055.423715277779</v>
      </c>
      <c r="B456" s="12" t="s">
        <v>139</v>
      </c>
      <c r="C456" s="12" t="s">
        <v>0</v>
      </c>
      <c r="D456" s="12" t="s">
        <v>153</v>
      </c>
      <c r="E456" s="12" t="s">
        <v>76</v>
      </c>
      <c r="F456" s="12" t="s">
        <v>156</v>
      </c>
      <c r="G456" s="12" t="s">
        <v>1</v>
      </c>
      <c r="H456" s="12" t="s">
        <v>109</v>
      </c>
      <c r="I456" s="12" t="s">
        <v>140</v>
      </c>
      <c r="J456" s="12" t="s">
        <v>2</v>
      </c>
      <c r="L456" s="4" t="e">
        <f>(#REF!-#REF!)</f>
        <v>#REF!</v>
      </c>
      <c r="M456" s="3" t="e">
        <f t="shared" si="9"/>
        <v>#REF!</v>
      </c>
      <c r="N456" s="2" t="e">
        <f>IF(#REF!=#REF!,"","Start")</f>
        <v>#REF!</v>
      </c>
    </row>
    <row r="457" spans="1:14" x14ac:dyDescent="0.55000000000000004">
      <c r="A457" s="11">
        <v>45055.423738425925</v>
      </c>
      <c r="B457" s="12" t="s">
        <v>139</v>
      </c>
      <c r="C457" s="12" t="s">
        <v>0</v>
      </c>
      <c r="D457" s="12" t="s">
        <v>153</v>
      </c>
      <c r="E457" s="12" t="s">
        <v>155</v>
      </c>
      <c r="F457" s="12"/>
      <c r="G457" s="12" t="s">
        <v>1</v>
      </c>
      <c r="H457" s="12" t="s">
        <v>109</v>
      </c>
      <c r="I457" s="12" t="s">
        <v>140</v>
      </c>
      <c r="J457" s="12" t="s">
        <v>2</v>
      </c>
      <c r="L457" s="4" t="e">
        <f>(#REF!-#REF!)</f>
        <v>#REF!</v>
      </c>
      <c r="M457" s="3" t="e">
        <f t="shared" si="9"/>
        <v>#REF!</v>
      </c>
      <c r="N457" s="2" t="e">
        <f>IF(#REF!=#REF!,"","Start")</f>
        <v>#REF!</v>
      </c>
    </row>
    <row r="458" spans="1:14" x14ac:dyDescent="0.55000000000000004">
      <c r="A458" s="11">
        <v>45055.423750000002</v>
      </c>
      <c r="B458" s="12" t="s">
        <v>139</v>
      </c>
      <c r="C458" s="12" t="s">
        <v>0</v>
      </c>
      <c r="D458" s="12" t="s">
        <v>153</v>
      </c>
      <c r="E458" s="12" t="s">
        <v>155</v>
      </c>
      <c r="F458" s="12"/>
      <c r="G458" s="12" t="s">
        <v>1</v>
      </c>
      <c r="H458" s="12" t="s">
        <v>109</v>
      </c>
      <c r="I458" s="12" t="s">
        <v>140</v>
      </c>
      <c r="J458" s="12" t="s">
        <v>2</v>
      </c>
      <c r="L458" s="4" t="e">
        <f>(#REF!-#REF!)</f>
        <v>#REF!</v>
      </c>
      <c r="M458" s="3" t="e">
        <f t="shared" si="9"/>
        <v>#REF!</v>
      </c>
      <c r="N458" s="2" t="e">
        <f>IF(#REF!=#REF!,"","Start")</f>
        <v>#REF!</v>
      </c>
    </row>
    <row r="459" spans="1:14" x14ac:dyDescent="0.55000000000000004">
      <c r="A459" s="11">
        <v>45055.423750000002</v>
      </c>
      <c r="B459" s="12" t="s">
        <v>139</v>
      </c>
      <c r="C459" s="12" t="s">
        <v>0</v>
      </c>
      <c r="D459" s="12" t="s">
        <v>153</v>
      </c>
      <c r="E459" s="12" t="s">
        <v>155</v>
      </c>
      <c r="F459" s="12"/>
      <c r="G459" s="12" t="s">
        <v>1</v>
      </c>
      <c r="H459" s="12" t="s">
        <v>109</v>
      </c>
      <c r="I459" s="12" t="s">
        <v>140</v>
      </c>
      <c r="J459" s="12" t="s">
        <v>2</v>
      </c>
      <c r="L459" s="4" t="e">
        <f>(#REF!-#REF!)</f>
        <v>#REF!</v>
      </c>
      <c r="M459" s="3" t="e">
        <f t="shared" si="9"/>
        <v>#REF!</v>
      </c>
      <c r="N459" s="2" t="e">
        <f>IF(#REF!=#REF!,"","Start")</f>
        <v>#REF!</v>
      </c>
    </row>
    <row r="460" spans="1:14" x14ac:dyDescent="0.55000000000000004">
      <c r="A460" s="11">
        <v>45055.423761574071</v>
      </c>
      <c r="B460" s="12" t="s">
        <v>139</v>
      </c>
      <c r="C460" s="12" t="s">
        <v>0</v>
      </c>
      <c r="D460" s="12" t="s">
        <v>153</v>
      </c>
      <c r="E460" s="12" t="s">
        <v>155</v>
      </c>
      <c r="F460" s="12"/>
      <c r="G460" s="12" t="s">
        <v>1</v>
      </c>
      <c r="H460" s="12" t="s">
        <v>109</v>
      </c>
      <c r="I460" s="12" t="s">
        <v>140</v>
      </c>
      <c r="J460" s="12" t="s">
        <v>2</v>
      </c>
      <c r="L460" s="4" t="e">
        <f>(#REF!-#REF!)</f>
        <v>#REF!</v>
      </c>
      <c r="M460" s="3" t="e">
        <f t="shared" si="9"/>
        <v>#REF!</v>
      </c>
      <c r="N460" s="2" t="e">
        <f>IF(#REF!=#REF!,"","Start")</f>
        <v>#REF!</v>
      </c>
    </row>
    <row r="461" spans="1:14" x14ac:dyDescent="0.55000000000000004">
      <c r="A461" s="11">
        <v>45055.423773148148</v>
      </c>
      <c r="B461" s="12" t="s">
        <v>139</v>
      </c>
      <c r="C461" s="12" t="s">
        <v>0</v>
      </c>
      <c r="D461" s="12" t="s">
        <v>153</v>
      </c>
      <c r="E461" s="12" t="s">
        <v>154</v>
      </c>
      <c r="F461" s="12"/>
      <c r="G461" s="12" t="s">
        <v>1</v>
      </c>
      <c r="H461" s="12" t="s">
        <v>109</v>
      </c>
      <c r="I461" s="12" t="s">
        <v>140</v>
      </c>
      <c r="J461" s="12" t="s">
        <v>2</v>
      </c>
      <c r="L461" s="4" t="e">
        <f>(#REF!-#REF!)</f>
        <v>#REF!</v>
      </c>
      <c r="M461" s="3" t="e">
        <f t="shared" si="9"/>
        <v>#REF!</v>
      </c>
      <c r="N461" s="2" t="e">
        <f>IF(#REF!=#REF!,"","Start")</f>
        <v>#REF!</v>
      </c>
    </row>
    <row r="462" spans="1:14" x14ac:dyDescent="0.55000000000000004">
      <c r="A462" s="11">
        <v>45055.423784722225</v>
      </c>
      <c r="B462" s="12" t="s">
        <v>139</v>
      </c>
      <c r="C462" s="12" t="s">
        <v>0</v>
      </c>
      <c r="D462" s="12" t="s">
        <v>153</v>
      </c>
      <c r="E462" s="12" t="s">
        <v>154</v>
      </c>
      <c r="F462" s="12"/>
      <c r="G462" s="12" t="s">
        <v>1</v>
      </c>
      <c r="H462" s="12" t="s">
        <v>109</v>
      </c>
      <c r="I462" s="12" t="s">
        <v>140</v>
      </c>
      <c r="J462" s="12" t="s">
        <v>2</v>
      </c>
      <c r="L462" s="4" t="e">
        <f>(#REF!-#REF!)</f>
        <v>#REF!</v>
      </c>
      <c r="M462" s="3" t="e">
        <f t="shared" si="9"/>
        <v>#REF!</v>
      </c>
      <c r="N462" s="2" t="e">
        <f>IF(#REF!=#REF!,"","Start")</f>
        <v>#REF!</v>
      </c>
    </row>
    <row r="463" spans="1:14" x14ac:dyDescent="0.55000000000000004">
      <c r="A463" s="11">
        <v>45055.423796296294</v>
      </c>
      <c r="B463" s="12" t="s">
        <v>139</v>
      </c>
      <c r="C463" s="12" t="s">
        <v>0</v>
      </c>
      <c r="D463" s="12" t="s">
        <v>153</v>
      </c>
      <c r="E463" s="12" t="s">
        <v>154</v>
      </c>
      <c r="F463" s="12"/>
      <c r="G463" s="12" t="s">
        <v>1</v>
      </c>
      <c r="H463" s="12" t="s">
        <v>109</v>
      </c>
      <c r="I463" s="12" t="s">
        <v>140</v>
      </c>
      <c r="J463" s="12" t="s">
        <v>2</v>
      </c>
      <c r="L463" s="4" t="e">
        <f>(#REF!-#REF!)</f>
        <v>#REF!</v>
      </c>
      <c r="M463" s="3" t="e">
        <f t="shared" si="9"/>
        <v>#REF!</v>
      </c>
      <c r="N463" s="2" t="e">
        <f>IF(#REF!=#REF!,"","Start")</f>
        <v>#REF!</v>
      </c>
    </row>
    <row r="464" spans="1:14" x14ac:dyDescent="0.55000000000000004">
      <c r="A464" s="11">
        <v>45055.423807870371</v>
      </c>
      <c r="B464" s="12" t="s">
        <v>139</v>
      </c>
      <c r="C464" s="12" t="s">
        <v>0</v>
      </c>
      <c r="D464" s="12" t="s">
        <v>153</v>
      </c>
      <c r="E464" s="12" t="s">
        <v>73</v>
      </c>
      <c r="F464" s="12"/>
      <c r="G464" s="12" t="s">
        <v>1</v>
      </c>
      <c r="H464" s="12" t="s">
        <v>109</v>
      </c>
      <c r="I464" s="12" t="s">
        <v>140</v>
      </c>
      <c r="J464" s="12" t="s">
        <v>2</v>
      </c>
      <c r="L464" s="4" t="e">
        <f>(#REF!-#REF!)</f>
        <v>#REF!</v>
      </c>
      <c r="M464" s="3" t="e">
        <f t="shared" si="9"/>
        <v>#REF!</v>
      </c>
      <c r="N464" s="2" t="e">
        <f>IF(#REF!=#REF!,"","Start")</f>
        <v>#REF!</v>
      </c>
    </row>
    <row r="465" spans="1:14" x14ac:dyDescent="0.55000000000000004">
      <c r="A465" s="11">
        <v>45055.42386574074</v>
      </c>
      <c r="B465" s="12" t="s">
        <v>139</v>
      </c>
      <c r="C465" s="12" t="s">
        <v>0</v>
      </c>
      <c r="D465" s="12" t="s">
        <v>150</v>
      </c>
      <c r="E465" s="12" t="s">
        <v>152</v>
      </c>
      <c r="F465" s="12" t="s">
        <v>43</v>
      </c>
      <c r="G465" s="12" t="s">
        <v>1</v>
      </c>
      <c r="H465" s="12" t="s">
        <v>109</v>
      </c>
      <c r="I465" s="12" t="s">
        <v>140</v>
      </c>
      <c r="J465" s="12" t="s">
        <v>2</v>
      </c>
      <c r="L465" s="4" t="e">
        <f>(#REF!-#REF!)</f>
        <v>#REF!</v>
      </c>
      <c r="M465" s="3" t="e">
        <f t="shared" si="9"/>
        <v>#REF!</v>
      </c>
      <c r="N465" s="2" t="e">
        <f>IF(#REF!=#REF!,"","Start")</f>
        <v>#REF!</v>
      </c>
    </row>
    <row r="466" spans="1:14" x14ac:dyDescent="0.55000000000000004">
      <c r="A466" s="11">
        <v>45055.423900462964</v>
      </c>
      <c r="B466" s="12" t="s">
        <v>139</v>
      </c>
      <c r="C466" s="12" t="s">
        <v>0</v>
      </c>
      <c r="D466" s="12" t="s">
        <v>150</v>
      </c>
      <c r="E466" s="12" t="s">
        <v>151</v>
      </c>
      <c r="F466" s="12" t="s">
        <v>43</v>
      </c>
      <c r="G466" s="12" t="s">
        <v>1</v>
      </c>
      <c r="H466" s="12" t="s">
        <v>109</v>
      </c>
      <c r="I466" s="12" t="s">
        <v>140</v>
      </c>
      <c r="J466" s="12" t="s">
        <v>2</v>
      </c>
      <c r="L466" s="4" t="e">
        <f>(#REF!-#REF!)</f>
        <v>#REF!</v>
      </c>
      <c r="M466" s="3" t="e">
        <f t="shared" si="9"/>
        <v>#REF!</v>
      </c>
      <c r="N466" s="2" t="e">
        <f>IF(#REF!=#REF!,"","Start")</f>
        <v>#REF!</v>
      </c>
    </row>
    <row r="467" spans="1:14" x14ac:dyDescent="0.55000000000000004">
      <c r="A467" s="11">
        <v>45055.423900462964</v>
      </c>
      <c r="B467" s="12" t="s">
        <v>139</v>
      </c>
      <c r="C467" s="12" t="s">
        <v>0</v>
      </c>
      <c r="D467" s="12" t="s">
        <v>150</v>
      </c>
      <c r="E467" s="12" t="s">
        <v>151</v>
      </c>
      <c r="F467" s="12" t="s">
        <v>43</v>
      </c>
      <c r="G467" s="12" t="s">
        <v>1</v>
      </c>
      <c r="H467" s="12" t="s">
        <v>109</v>
      </c>
      <c r="I467" s="12" t="s">
        <v>140</v>
      </c>
      <c r="J467" s="12" t="s">
        <v>2</v>
      </c>
      <c r="L467" s="4" t="e">
        <f>(#REF!-#REF!)</f>
        <v>#REF!</v>
      </c>
      <c r="M467" s="3" t="e">
        <f t="shared" si="9"/>
        <v>#REF!</v>
      </c>
      <c r="N467" s="2" t="e">
        <f>IF(#REF!=#REF!,"","Start")</f>
        <v>#REF!</v>
      </c>
    </row>
    <row r="468" spans="1:14" x14ac:dyDescent="0.55000000000000004">
      <c r="A468" s="11">
        <v>45055.42391203704</v>
      </c>
      <c r="B468" s="12" t="s">
        <v>139</v>
      </c>
      <c r="C468" s="12" t="s">
        <v>0</v>
      </c>
      <c r="D468" s="12" t="s">
        <v>150</v>
      </c>
      <c r="E468" s="12" t="s">
        <v>73</v>
      </c>
      <c r="F468" s="12"/>
      <c r="G468" s="12" t="s">
        <v>1</v>
      </c>
      <c r="H468" s="12" t="s">
        <v>109</v>
      </c>
      <c r="I468" s="12" t="s">
        <v>140</v>
      </c>
      <c r="J468" s="12" t="s">
        <v>2</v>
      </c>
      <c r="L468" s="4" t="e">
        <f>(#REF!-#REF!)</f>
        <v>#REF!</v>
      </c>
      <c r="M468" s="3" t="e">
        <f t="shared" si="9"/>
        <v>#REF!</v>
      </c>
      <c r="N468" s="2" t="e">
        <f>IF(#REF!=#REF!,"","Start")</f>
        <v>#REF!</v>
      </c>
    </row>
    <row r="469" spans="1:14" x14ac:dyDescent="0.55000000000000004">
      <c r="A469" s="11">
        <v>45055.423946759256</v>
      </c>
      <c r="B469" s="12" t="s">
        <v>139</v>
      </c>
      <c r="C469" s="12" t="s">
        <v>0</v>
      </c>
      <c r="D469" s="12" t="s">
        <v>149</v>
      </c>
      <c r="E469" s="12" t="s">
        <v>73</v>
      </c>
      <c r="F469" s="12"/>
      <c r="G469" s="12" t="s">
        <v>1</v>
      </c>
      <c r="H469" s="12" t="s">
        <v>109</v>
      </c>
      <c r="I469" s="12" t="s">
        <v>140</v>
      </c>
      <c r="J469" s="12" t="s">
        <v>2</v>
      </c>
      <c r="L469" s="4" t="e">
        <f>(#REF!-#REF!)</f>
        <v>#REF!</v>
      </c>
      <c r="M469" s="3" t="e">
        <f t="shared" si="9"/>
        <v>#REF!</v>
      </c>
      <c r="N469" s="2" t="e">
        <f>IF(#REF!=#REF!,"","Start")</f>
        <v>#REF!</v>
      </c>
    </row>
    <row r="470" spans="1:14" x14ac:dyDescent="0.55000000000000004">
      <c r="A470" s="11">
        <v>45055.423981481479</v>
      </c>
      <c r="B470" s="12" t="s">
        <v>139</v>
      </c>
      <c r="C470" s="12" t="s">
        <v>0</v>
      </c>
      <c r="D470" s="12" t="s">
        <v>147</v>
      </c>
      <c r="E470" s="12" t="s">
        <v>136</v>
      </c>
      <c r="F470" s="12"/>
      <c r="G470" s="12" t="s">
        <v>1</v>
      </c>
      <c r="H470" s="12" t="s">
        <v>109</v>
      </c>
      <c r="I470" s="12" t="s">
        <v>140</v>
      </c>
      <c r="J470" s="12" t="s">
        <v>2</v>
      </c>
      <c r="L470" s="4" t="e">
        <f>(#REF!-#REF!)</f>
        <v>#REF!</v>
      </c>
      <c r="M470" s="3" t="e">
        <f t="shared" si="9"/>
        <v>#REF!</v>
      </c>
      <c r="N470" s="2" t="e">
        <f>IF(#REF!=#REF!,"","Start")</f>
        <v>#REF!</v>
      </c>
    </row>
    <row r="471" spans="1:14" x14ac:dyDescent="0.55000000000000004">
      <c r="A471" s="11">
        <v>45055.424027777779</v>
      </c>
      <c r="B471" s="12" t="s">
        <v>139</v>
      </c>
      <c r="C471" s="12" t="s">
        <v>0</v>
      </c>
      <c r="D471" s="12" t="s">
        <v>148</v>
      </c>
      <c r="E471" s="12" t="s">
        <v>89</v>
      </c>
      <c r="F471" s="12"/>
      <c r="G471" s="12" t="s">
        <v>1</v>
      </c>
      <c r="H471" s="12" t="s">
        <v>109</v>
      </c>
      <c r="I471" s="12" t="s">
        <v>140</v>
      </c>
      <c r="J471" s="12" t="s">
        <v>2</v>
      </c>
      <c r="L471" s="4" t="e">
        <f>(#REF!-#REF!)</f>
        <v>#REF!</v>
      </c>
      <c r="M471" s="3" t="e">
        <f t="shared" si="9"/>
        <v>#REF!</v>
      </c>
      <c r="N471" s="2" t="e">
        <f>IF(#REF!=#REF!,"","Start")</f>
        <v>#REF!</v>
      </c>
    </row>
    <row r="472" spans="1:14" x14ac:dyDescent="0.55000000000000004">
      <c r="A472" s="11">
        <v>45055.424074074072</v>
      </c>
      <c r="B472" s="12" t="s">
        <v>139</v>
      </c>
      <c r="C472" s="12" t="s">
        <v>0</v>
      </c>
      <c r="D472" s="12" t="s">
        <v>147</v>
      </c>
      <c r="E472" s="12" t="s">
        <v>71</v>
      </c>
      <c r="F472" s="12"/>
      <c r="G472" s="12" t="s">
        <v>1</v>
      </c>
      <c r="H472" s="12" t="s">
        <v>109</v>
      </c>
      <c r="I472" s="12" t="s">
        <v>140</v>
      </c>
      <c r="J472" s="12" t="s">
        <v>2</v>
      </c>
      <c r="L472" s="4" t="e">
        <f>(#REF!-#REF!)</f>
        <v>#REF!</v>
      </c>
      <c r="M472" s="3" t="e">
        <f t="shared" si="9"/>
        <v>#REF!</v>
      </c>
      <c r="N472" s="2" t="e">
        <f>IF(#REF!=#REF!,"","Start")</f>
        <v>#REF!</v>
      </c>
    </row>
    <row r="473" spans="1:14" x14ac:dyDescent="0.55000000000000004">
      <c r="A473" s="11">
        <v>45055.424143518518</v>
      </c>
      <c r="B473" s="12" t="s">
        <v>139</v>
      </c>
      <c r="C473" s="12" t="s">
        <v>0</v>
      </c>
      <c r="D473" s="12" t="s">
        <v>68</v>
      </c>
      <c r="E473" s="12" t="s">
        <v>69</v>
      </c>
      <c r="F473" s="12"/>
      <c r="G473" s="12" t="s">
        <v>1</v>
      </c>
      <c r="H473" s="12" t="s">
        <v>109</v>
      </c>
      <c r="I473" s="12" t="s">
        <v>140</v>
      </c>
      <c r="J473" s="12" t="s">
        <v>2</v>
      </c>
      <c r="L473" s="4" t="e">
        <f>(#REF!-#REF!)</f>
        <v>#REF!</v>
      </c>
      <c r="M473" s="3" t="e">
        <f t="shared" si="9"/>
        <v>#REF!</v>
      </c>
      <c r="N473" s="2" t="e">
        <f>IF(#REF!=#REF!,"","Start")</f>
        <v>#REF!</v>
      </c>
    </row>
    <row r="474" spans="1:14" x14ac:dyDescent="0.55000000000000004">
      <c r="A474" s="11">
        <v>45055.424178240741</v>
      </c>
      <c r="B474" s="12" t="s">
        <v>139</v>
      </c>
      <c r="C474" s="12" t="s">
        <v>0</v>
      </c>
      <c r="D474" s="12" t="s">
        <v>65</v>
      </c>
      <c r="E474" s="12" t="s">
        <v>66</v>
      </c>
      <c r="F474" s="12"/>
      <c r="G474" s="12" t="s">
        <v>1</v>
      </c>
      <c r="H474" s="12" t="s">
        <v>109</v>
      </c>
      <c r="I474" s="12" t="s">
        <v>140</v>
      </c>
      <c r="J474" s="12" t="s">
        <v>2</v>
      </c>
      <c r="L474" s="4" t="e">
        <f>(#REF!-#REF!)</f>
        <v>#REF!</v>
      </c>
      <c r="M474" s="3" t="e">
        <f t="shared" si="9"/>
        <v>#REF!</v>
      </c>
      <c r="N474" s="2" t="e">
        <f>IF(#REF!=#REF!,"","Start")</f>
        <v>#REF!</v>
      </c>
    </row>
    <row r="475" spans="1:14" x14ac:dyDescent="0.55000000000000004">
      <c r="A475" s="11">
        <v>45055.424178240741</v>
      </c>
      <c r="B475" s="12" t="s">
        <v>139</v>
      </c>
      <c r="C475" s="12" t="s">
        <v>0</v>
      </c>
      <c r="D475" s="12" t="s">
        <v>65</v>
      </c>
      <c r="E475" s="12" t="s">
        <v>67</v>
      </c>
      <c r="F475" s="12"/>
      <c r="G475" s="12" t="s">
        <v>1</v>
      </c>
      <c r="H475" s="12" t="s">
        <v>109</v>
      </c>
      <c r="I475" s="12" t="s">
        <v>140</v>
      </c>
      <c r="J475" s="12" t="s">
        <v>2</v>
      </c>
      <c r="L475" s="4" t="e">
        <f>(#REF!-#REF!)</f>
        <v>#REF!</v>
      </c>
      <c r="M475" s="3" t="e">
        <f t="shared" si="9"/>
        <v>#REF!</v>
      </c>
      <c r="N475" s="2" t="e">
        <f>IF(#REF!=#REF!,"","Start")</f>
        <v>#REF!</v>
      </c>
    </row>
    <row r="476" spans="1:14" x14ac:dyDescent="0.55000000000000004">
      <c r="A476" s="11">
        <v>45055.424189814818</v>
      </c>
      <c r="B476" s="12" t="s">
        <v>139</v>
      </c>
      <c r="C476" s="12" t="s">
        <v>0</v>
      </c>
      <c r="D476" s="12" t="s">
        <v>65</v>
      </c>
      <c r="E476" s="12" t="s">
        <v>3</v>
      </c>
      <c r="F476" s="12"/>
      <c r="G476" s="12" t="s">
        <v>1</v>
      </c>
      <c r="H476" s="12" t="s">
        <v>109</v>
      </c>
      <c r="I476" s="12" t="s">
        <v>140</v>
      </c>
      <c r="J476" s="12" t="s">
        <v>2</v>
      </c>
      <c r="L476" s="4" t="e">
        <f>(#REF!-#REF!)</f>
        <v>#REF!</v>
      </c>
      <c r="M476" s="3" t="e">
        <f t="shared" si="9"/>
        <v>#REF!</v>
      </c>
      <c r="N476" s="2" t="e">
        <f>IF(#REF!=#REF!,"","Start")</f>
        <v>#REF!</v>
      </c>
    </row>
    <row r="477" spans="1:14" x14ac:dyDescent="0.55000000000000004">
      <c r="A477" s="11">
        <v>45055.424201388887</v>
      </c>
      <c r="B477" s="12" t="s">
        <v>139</v>
      </c>
      <c r="C477" s="12" t="s">
        <v>0</v>
      </c>
      <c r="D477" s="12" t="s">
        <v>62</v>
      </c>
      <c r="E477" s="12" t="s">
        <v>64</v>
      </c>
      <c r="F477" s="12"/>
      <c r="G477" s="12" t="s">
        <v>1</v>
      </c>
      <c r="H477" s="12" t="s">
        <v>109</v>
      </c>
      <c r="I477" s="12" t="s">
        <v>140</v>
      </c>
      <c r="J477" s="12" t="s">
        <v>2</v>
      </c>
      <c r="L477" s="4" t="e">
        <f>(#REF!-#REF!)</f>
        <v>#REF!</v>
      </c>
      <c r="M477" s="3" t="e">
        <f t="shared" si="9"/>
        <v>#REF!</v>
      </c>
      <c r="N477" s="2" t="e">
        <f>IF(#REF!=#REF!,"","Start")</f>
        <v>#REF!</v>
      </c>
    </row>
    <row r="478" spans="1:14" x14ac:dyDescent="0.55000000000000004">
      <c r="A478" s="11">
        <v>45055.424212962964</v>
      </c>
      <c r="B478" s="12" t="s">
        <v>139</v>
      </c>
      <c r="C478" s="12" t="s">
        <v>0</v>
      </c>
      <c r="D478" s="12" t="s">
        <v>62</v>
      </c>
      <c r="E478" s="12" t="s">
        <v>3</v>
      </c>
      <c r="F478" s="12"/>
      <c r="G478" s="12" t="s">
        <v>1</v>
      </c>
      <c r="H478" s="12" t="s">
        <v>109</v>
      </c>
      <c r="I478" s="12" t="s">
        <v>140</v>
      </c>
      <c r="J478" s="12" t="s">
        <v>2</v>
      </c>
      <c r="L478" s="4" t="e">
        <f>(#REF!-#REF!)</f>
        <v>#REF!</v>
      </c>
      <c r="M478" s="3" t="e">
        <f t="shared" si="9"/>
        <v>#REF!</v>
      </c>
      <c r="N478" s="2" t="e">
        <f>IF(#REF!=#REF!,"","Start")</f>
        <v>#REF!</v>
      </c>
    </row>
    <row r="479" spans="1:14" x14ac:dyDescent="0.55000000000000004">
      <c r="A479" s="11">
        <v>45055.424212962964</v>
      </c>
      <c r="B479" s="12" t="s">
        <v>139</v>
      </c>
      <c r="C479" s="12" t="s">
        <v>0</v>
      </c>
      <c r="D479" s="12" t="s">
        <v>62</v>
      </c>
      <c r="E479" s="12" t="s">
        <v>63</v>
      </c>
      <c r="F479" s="12"/>
      <c r="G479" s="12" t="s">
        <v>1</v>
      </c>
      <c r="H479" s="12" t="s">
        <v>109</v>
      </c>
      <c r="I479" s="12" t="s">
        <v>140</v>
      </c>
      <c r="J479" s="12" t="s">
        <v>2</v>
      </c>
      <c r="L479" s="4" t="e">
        <f>(#REF!-#REF!)</f>
        <v>#REF!</v>
      </c>
      <c r="M479" s="3" t="e">
        <f t="shared" si="9"/>
        <v>#REF!</v>
      </c>
      <c r="N479" s="2" t="e">
        <f>IF(#REF!=#REF!,"","Start")</f>
        <v>#REF!</v>
      </c>
    </row>
    <row r="480" spans="1:14" x14ac:dyDescent="0.55000000000000004">
      <c r="A480" s="11">
        <v>45055.424224537041</v>
      </c>
      <c r="B480" s="12" t="s">
        <v>139</v>
      </c>
      <c r="C480" s="12" t="s">
        <v>0</v>
      </c>
      <c r="D480" s="12" t="s">
        <v>59</v>
      </c>
      <c r="E480" s="12" t="s">
        <v>130</v>
      </c>
      <c r="F480" s="12"/>
      <c r="G480" s="12" t="s">
        <v>1</v>
      </c>
      <c r="H480" s="12" t="s">
        <v>109</v>
      </c>
      <c r="I480" s="12" t="s">
        <v>140</v>
      </c>
      <c r="J480" s="12" t="s">
        <v>2</v>
      </c>
      <c r="L480" s="4" t="e">
        <f>(#REF!-#REF!)</f>
        <v>#REF!</v>
      </c>
      <c r="M480" s="3" t="e">
        <f t="shared" si="9"/>
        <v>#REF!</v>
      </c>
      <c r="N480" s="2" t="e">
        <f>IF(#REF!=#REF!,"","Start")</f>
        <v>#REF!</v>
      </c>
    </row>
    <row r="481" spans="1:15" x14ac:dyDescent="0.55000000000000004">
      <c r="A481" s="11">
        <v>45055.42423611111</v>
      </c>
      <c r="B481" s="12" t="s">
        <v>139</v>
      </c>
      <c r="C481" s="12" t="s">
        <v>0</v>
      </c>
      <c r="D481" s="12" t="s">
        <v>59</v>
      </c>
      <c r="E481" s="12" t="s">
        <v>3</v>
      </c>
      <c r="F481" s="12"/>
      <c r="G481" s="12" t="s">
        <v>1</v>
      </c>
      <c r="H481" s="12" t="s">
        <v>109</v>
      </c>
      <c r="I481" s="12" t="s">
        <v>140</v>
      </c>
      <c r="J481" s="12" t="s">
        <v>2</v>
      </c>
      <c r="L481" s="4" t="e">
        <f>(#REF!-#REF!)</f>
        <v>#REF!</v>
      </c>
      <c r="M481" s="3" t="e">
        <f t="shared" si="9"/>
        <v>#REF!</v>
      </c>
      <c r="N481" s="2" t="e">
        <f>IF(#REF!=#REF!,"","Start")</f>
        <v>#REF!</v>
      </c>
    </row>
    <row r="482" spans="1:15" x14ac:dyDescent="0.55000000000000004">
      <c r="A482" s="11">
        <v>45055.42423611111</v>
      </c>
      <c r="B482" s="12" t="s">
        <v>139</v>
      </c>
      <c r="C482" s="12" t="s">
        <v>0</v>
      </c>
      <c r="D482" s="12" t="s">
        <v>59</v>
      </c>
      <c r="E482" s="12" t="s">
        <v>146</v>
      </c>
      <c r="F482" s="12"/>
      <c r="G482" s="12" t="s">
        <v>1</v>
      </c>
      <c r="H482" s="12" t="s">
        <v>109</v>
      </c>
      <c r="I482" s="12" t="s">
        <v>140</v>
      </c>
      <c r="J482" s="12" t="s">
        <v>2</v>
      </c>
      <c r="L482" s="4" t="e">
        <f>(#REF!-#REF!)</f>
        <v>#REF!</v>
      </c>
      <c r="M482" s="3" t="e">
        <f t="shared" si="9"/>
        <v>#REF!</v>
      </c>
      <c r="N482" s="2" t="e">
        <f>IF(#REF!=#REF!,"","Start")</f>
        <v>#REF!</v>
      </c>
    </row>
    <row r="483" spans="1:15" x14ac:dyDescent="0.55000000000000004">
      <c r="A483" s="11">
        <v>45055.424247685187</v>
      </c>
      <c r="B483" s="12" t="s">
        <v>139</v>
      </c>
      <c r="C483" s="12" t="s">
        <v>0</v>
      </c>
      <c r="D483" s="12" t="s">
        <v>56</v>
      </c>
      <c r="E483" s="12" t="s">
        <v>58</v>
      </c>
      <c r="F483" s="12"/>
      <c r="G483" s="12" t="s">
        <v>1</v>
      </c>
      <c r="H483" s="12" t="s">
        <v>109</v>
      </c>
      <c r="I483" s="12" t="s">
        <v>140</v>
      </c>
      <c r="J483" s="12" t="s">
        <v>2</v>
      </c>
      <c r="L483" s="4" t="e">
        <f>(#REF!-#REF!)</f>
        <v>#REF!</v>
      </c>
      <c r="M483" s="3" t="e">
        <f t="shared" si="9"/>
        <v>#REF!</v>
      </c>
      <c r="N483" s="2" t="e">
        <f>IF(#REF!=#REF!,"","Start")</f>
        <v>#REF!</v>
      </c>
    </row>
    <row r="484" spans="1:15" x14ac:dyDescent="0.55000000000000004">
      <c r="A484" s="11">
        <v>45055.424259259256</v>
      </c>
      <c r="B484" s="12" t="s">
        <v>139</v>
      </c>
      <c r="C484" s="12" t="s">
        <v>0</v>
      </c>
      <c r="D484" s="12" t="s">
        <v>56</v>
      </c>
      <c r="E484" s="12" t="s">
        <v>57</v>
      </c>
      <c r="F484" s="12"/>
      <c r="G484" s="12" t="s">
        <v>1</v>
      </c>
      <c r="H484" s="12" t="s">
        <v>109</v>
      </c>
      <c r="I484" s="12" t="s">
        <v>140</v>
      </c>
      <c r="J484" s="12" t="s">
        <v>2</v>
      </c>
      <c r="L484" s="4" t="e">
        <f>(#REF!-#REF!)</f>
        <v>#REF!</v>
      </c>
      <c r="M484" s="3" t="e">
        <f t="shared" si="9"/>
        <v>#REF!</v>
      </c>
      <c r="N484" s="2" t="e">
        <f>IF(#REF!=#REF!,"","Start")</f>
        <v>#REF!</v>
      </c>
    </row>
    <row r="485" spans="1:15" x14ac:dyDescent="0.55000000000000004">
      <c r="A485" s="11">
        <v>45055.424270833333</v>
      </c>
      <c r="B485" s="12" t="s">
        <v>139</v>
      </c>
      <c r="C485" s="12" t="s">
        <v>0</v>
      </c>
      <c r="D485" s="12" t="s">
        <v>56</v>
      </c>
      <c r="E485" s="12" t="s">
        <v>3</v>
      </c>
      <c r="F485" s="12"/>
      <c r="G485" s="12" t="s">
        <v>1</v>
      </c>
      <c r="H485" s="12" t="s">
        <v>109</v>
      </c>
      <c r="I485" s="12" t="s">
        <v>140</v>
      </c>
      <c r="J485" s="12" t="s">
        <v>2</v>
      </c>
      <c r="L485" s="4" t="e">
        <f>(#REF!-#REF!)</f>
        <v>#REF!</v>
      </c>
      <c r="M485" s="3" t="e">
        <f t="shared" si="9"/>
        <v>#REF!</v>
      </c>
      <c r="N485" s="2" t="e">
        <f>IF(#REF!=#REF!,"","Start")</f>
        <v>#REF!</v>
      </c>
    </row>
    <row r="486" spans="1:15" x14ac:dyDescent="0.55000000000000004">
      <c r="A486" s="11">
        <v>45055.42428240741</v>
      </c>
      <c r="B486" s="12" t="s">
        <v>139</v>
      </c>
      <c r="C486" s="12" t="s">
        <v>0</v>
      </c>
      <c r="D486" s="12" t="s">
        <v>52</v>
      </c>
      <c r="E486" s="12" t="s">
        <v>55</v>
      </c>
      <c r="F486" s="12" t="s">
        <v>43</v>
      </c>
      <c r="G486" s="12" t="s">
        <v>1</v>
      </c>
      <c r="H486" s="12" t="s">
        <v>109</v>
      </c>
      <c r="I486" s="12" t="s">
        <v>140</v>
      </c>
      <c r="J486" s="12" t="s">
        <v>2</v>
      </c>
      <c r="L486" s="4" t="e">
        <f>(#REF!-#REF!)</f>
        <v>#REF!</v>
      </c>
      <c r="M486" s="3" t="e">
        <f t="shared" si="9"/>
        <v>#REF!</v>
      </c>
      <c r="N486" s="2" t="e">
        <f>IF(#REF!=#REF!,"","Start")</f>
        <v>#REF!</v>
      </c>
    </row>
    <row r="487" spans="1:15" x14ac:dyDescent="0.55000000000000004">
      <c r="A487" s="11">
        <v>45055.424305555556</v>
      </c>
      <c r="B487" s="12" t="s">
        <v>139</v>
      </c>
      <c r="C487" s="12" t="s">
        <v>0</v>
      </c>
      <c r="D487" s="12" t="s">
        <v>52</v>
      </c>
      <c r="E487" s="12" t="s">
        <v>145</v>
      </c>
      <c r="F487" s="12" t="s">
        <v>43</v>
      </c>
      <c r="G487" s="12" t="s">
        <v>1</v>
      </c>
      <c r="H487" s="12" t="s">
        <v>109</v>
      </c>
      <c r="I487" s="12" t="s">
        <v>140</v>
      </c>
      <c r="J487" s="12" t="s">
        <v>2</v>
      </c>
      <c r="L487" s="4" t="e">
        <f>(#REF!-#REF!)</f>
        <v>#REF!</v>
      </c>
      <c r="M487" s="3" t="e">
        <f t="shared" si="9"/>
        <v>#REF!</v>
      </c>
      <c r="N487" s="2" t="e">
        <f>IF(#REF!=#REF!,"","Start")</f>
        <v>#REF!</v>
      </c>
    </row>
    <row r="488" spans="1:15" x14ac:dyDescent="0.55000000000000004">
      <c r="A488" s="11">
        <v>45055.424375000002</v>
      </c>
      <c r="B488" s="12" t="s">
        <v>139</v>
      </c>
      <c r="C488" s="12" t="s">
        <v>0</v>
      </c>
      <c r="D488" s="12" t="s">
        <v>52</v>
      </c>
      <c r="E488" s="12" t="s">
        <v>53</v>
      </c>
      <c r="F488" s="12" t="s">
        <v>43</v>
      </c>
      <c r="G488" s="12" t="s">
        <v>1</v>
      </c>
      <c r="H488" s="12" t="s">
        <v>109</v>
      </c>
      <c r="I488" s="12" t="s">
        <v>140</v>
      </c>
      <c r="J488" s="12" t="s">
        <v>2</v>
      </c>
      <c r="L488" s="4" t="e">
        <f>(#REF!-#REF!)</f>
        <v>#REF!</v>
      </c>
      <c r="M488" s="3" t="e">
        <f t="shared" si="9"/>
        <v>#REF!</v>
      </c>
      <c r="N488" s="2" t="e">
        <f>IF(#REF!=#REF!,"","Start")</f>
        <v>#REF!</v>
      </c>
    </row>
    <row r="489" spans="1:15" x14ac:dyDescent="0.55000000000000004">
      <c r="A489" s="11">
        <v>45055.424386574072</v>
      </c>
      <c r="B489" s="12" t="s">
        <v>139</v>
      </c>
      <c r="C489" s="12" t="s">
        <v>0</v>
      </c>
      <c r="D489" s="12" t="s">
        <v>52</v>
      </c>
      <c r="E489" s="12" t="s">
        <v>3</v>
      </c>
      <c r="F489" s="12"/>
      <c r="G489" s="12" t="s">
        <v>1</v>
      </c>
      <c r="H489" s="12" t="s">
        <v>109</v>
      </c>
      <c r="I489" s="12" t="s">
        <v>140</v>
      </c>
      <c r="J489" s="12" t="s">
        <v>2</v>
      </c>
      <c r="L489" s="4" t="e">
        <f>(#REF!-#REF!)</f>
        <v>#REF!</v>
      </c>
      <c r="M489" s="3" t="e">
        <f t="shared" si="9"/>
        <v>#REF!</v>
      </c>
      <c r="N489" s="2" t="e">
        <f>IF(#REF!=#REF!,"","Start")</f>
        <v>#REF!</v>
      </c>
      <c r="O489" s="7"/>
    </row>
    <row r="490" spans="1:15" x14ac:dyDescent="0.55000000000000004">
      <c r="A490" s="11">
        <v>45055.424432870372</v>
      </c>
      <c r="B490" s="12" t="s">
        <v>139</v>
      </c>
      <c r="C490" s="12" t="s">
        <v>0</v>
      </c>
      <c r="D490" s="12" t="s">
        <v>49</v>
      </c>
      <c r="E490" s="12" t="s">
        <v>144</v>
      </c>
      <c r="F490" s="12" t="s">
        <v>43</v>
      </c>
      <c r="G490" s="12" t="s">
        <v>1</v>
      </c>
      <c r="H490" s="12" t="s">
        <v>109</v>
      </c>
      <c r="I490" s="12" t="s">
        <v>140</v>
      </c>
      <c r="J490" s="12" t="s">
        <v>2</v>
      </c>
      <c r="L490" s="4" t="e">
        <f>(#REF!-#REF!)</f>
        <v>#REF!</v>
      </c>
      <c r="M490" s="3" t="e">
        <f t="shared" si="9"/>
        <v>#REF!</v>
      </c>
      <c r="N490" s="2" t="e">
        <f>IF(#REF!=#REF!,"","Start")</f>
        <v>#REF!</v>
      </c>
    </row>
    <row r="491" spans="1:15" x14ac:dyDescent="0.55000000000000004">
      <c r="A491" s="11">
        <v>45055.424444444441</v>
      </c>
      <c r="B491" s="12" t="s">
        <v>139</v>
      </c>
      <c r="C491" s="12" t="s">
        <v>0</v>
      </c>
      <c r="D491" s="12" t="s">
        <v>49</v>
      </c>
      <c r="E491" s="12" t="s">
        <v>143</v>
      </c>
      <c r="F491" s="12" t="s">
        <v>43</v>
      </c>
      <c r="G491" s="12" t="s">
        <v>1</v>
      </c>
      <c r="H491" s="12" t="s">
        <v>109</v>
      </c>
      <c r="I491" s="12" t="s">
        <v>140</v>
      </c>
      <c r="J491" s="12" t="s">
        <v>2</v>
      </c>
      <c r="L491" s="4" t="e">
        <f>(#REF!-#REF!)</f>
        <v>#REF!</v>
      </c>
      <c r="M491" s="3" t="e">
        <f t="shared" si="9"/>
        <v>#REF!</v>
      </c>
      <c r="N491" s="2" t="e">
        <f>IF(#REF!=#REF!,"","Start")</f>
        <v>#REF!</v>
      </c>
    </row>
    <row r="492" spans="1:15" x14ac:dyDescent="0.55000000000000004">
      <c r="A492" s="11">
        <v>45055.424467592595</v>
      </c>
      <c r="B492" s="12" t="s">
        <v>139</v>
      </c>
      <c r="C492" s="12" t="s">
        <v>0</v>
      </c>
      <c r="D492" s="12" t="s">
        <v>49</v>
      </c>
      <c r="E492" s="12" t="s">
        <v>3</v>
      </c>
      <c r="F492" s="12"/>
      <c r="G492" s="12" t="s">
        <v>1</v>
      </c>
      <c r="H492" s="12" t="s">
        <v>109</v>
      </c>
      <c r="I492" s="12" t="s">
        <v>140</v>
      </c>
      <c r="J492" s="12" t="s">
        <v>2</v>
      </c>
      <c r="L492" s="4" t="e">
        <f>(#REF!-#REF!)</f>
        <v>#REF!</v>
      </c>
      <c r="M492" s="3" t="e">
        <f t="shared" si="9"/>
        <v>#REF!</v>
      </c>
      <c r="N492" s="2" t="e">
        <f>IF(#REF!=#REF!,"","Start")</f>
        <v>#REF!</v>
      </c>
    </row>
    <row r="493" spans="1:15" x14ac:dyDescent="0.55000000000000004">
      <c r="A493" s="11">
        <v>45055.424479166664</v>
      </c>
      <c r="B493" s="12" t="s">
        <v>139</v>
      </c>
      <c r="C493" s="12" t="s">
        <v>0</v>
      </c>
      <c r="D493" s="12" t="s">
        <v>46</v>
      </c>
      <c r="E493" s="12" t="s">
        <v>128</v>
      </c>
      <c r="F493" s="12" t="s">
        <v>43</v>
      </c>
      <c r="G493" s="12" t="s">
        <v>1</v>
      </c>
      <c r="H493" s="12" t="s">
        <v>109</v>
      </c>
      <c r="I493" s="12" t="s">
        <v>140</v>
      </c>
      <c r="J493" s="12" t="s">
        <v>2</v>
      </c>
      <c r="L493" s="4" t="e">
        <f>(#REF!-#REF!)</f>
        <v>#REF!</v>
      </c>
      <c r="M493" s="3" t="e">
        <f t="shared" si="9"/>
        <v>#REF!</v>
      </c>
      <c r="N493" s="2" t="e">
        <f>IF(#REF!=#REF!,"","Start")</f>
        <v>#REF!</v>
      </c>
    </row>
    <row r="494" spans="1:15" x14ac:dyDescent="0.55000000000000004">
      <c r="A494" s="11">
        <v>45055.424490740741</v>
      </c>
      <c r="B494" s="12" t="s">
        <v>139</v>
      </c>
      <c r="C494" s="12" t="s">
        <v>0</v>
      </c>
      <c r="D494" s="12" t="s">
        <v>46</v>
      </c>
      <c r="E494" s="12" t="s">
        <v>127</v>
      </c>
      <c r="F494" s="12" t="s">
        <v>43</v>
      </c>
      <c r="G494" s="12" t="s">
        <v>1</v>
      </c>
      <c r="H494" s="12" t="s">
        <v>109</v>
      </c>
      <c r="I494" s="12" t="s">
        <v>140</v>
      </c>
      <c r="J494" s="12" t="s">
        <v>2</v>
      </c>
      <c r="L494" s="4" t="e">
        <f>(#REF!-#REF!)</f>
        <v>#REF!</v>
      </c>
      <c r="M494" s="3" t="e">
        <f t="shared" si="9"/>
        <v>#REF!</v>
      </c>
      <c r="N494" s="2" t="e">
        <f>IF(#REF!=#REF!,"","Start")</f>
        <v>#REF!</v>
      </c>
    </row>
    <row r="495" spans="1:15" x14ac:dyDescent="0.55000000000000004">
      <c r="A495" s="11">
        <v>45055.424502314818</v>
      </c>
      <c r="B495" s="12" t="s">
        <v>139</v>
      </c>
      <c r="C495" s="12" t="s">
        <v>0</v>
      </c>
      <c r="D495" s="12" t="s">
        <v>46</v>
      </c>
      <c r="E495" s="12" t="s">
        <v>3</v>
      </c>
      <c r="F495" s="12"/>
      <c r="G495" s="12" t="s">
        <v>1</v>
      </c>
      <c r="H495" s="12" t="s">
        <v>109</v>
      </c>
      <c r="I495" s="12" t="s">
        <v>140</v>
      </c>
      <c r="J495" s="12" t="s">
        <v>2</v>
      </c>
      <c r="L495" s="4" t="e">
        <f>(#REF!-#REF!)</f>
        <v>#REF!</v>
      </c>
      <c r="M495" s="3" t="e">
        <f t="shared" si="9"/>
        <v>#REF!</v>
      </c>
      <c r="N495" s="2" t="e">
        <f>IF(#REF!=#REF!,"","Start")</f>
        <v>#REF!</v>
      </c>
    </row>
    <row r="496" spans="1:15" x14ac:dyDescent="0.55000000000000004">
      <c r="A496" s="11">
        <v>45055.424513888887</v>
      </c>
      <c r="B496" s="12" t="s">
        <v>139</v>
      </c>
      <c r="C496" s="12" t="s">
        <v>0</v>
      </c>
      <c r="D496" s="12" t="s">
        <v>44</v>
      </c>
      <c r="E496" s="12" t="s">
        <v>45</v>
      </c>
      <c r="F496" s="12" t="s">
        <v>43</v>
      </c>
      <c r="G496" s="12" t="s">
        <v>1</v>
      </c>
      <c r="H496" s="12" t="s">
        <v>109</v>
      </c>
      <c r="I496" s="12" t="s">
        <v>140</v>
      </c>
      <c r="J496" s="12" t="s">
        <v>2</v>
      </c>
      <c r="L496" s="4" t="e">
        <f>(#REF!-#REF!)</f>
        <v>#REF!</v>
      </c>
      <c r="M496" s="3" t="e">
        <f t="shared" si="9"/>
        <v>#REF!</v>
      </c>
      <c r="N496" s="2" t="e">
        <f>IF(#REF!=#REF!,"","Start")</f>
        <v>#REF!</v>
      </c>
    </row>
    <row r="497" spans="1:14" x14ac:dyDescent="0.55000000000000004">
      <c r="A497" s="11">
        <v>45055.424525462964</v>
      </c>
      <c r="B497" s="12" t="s">
        <v>139</v>
      </c>
      <c r="C497" s="12" t="s">
        <v>0</v>
      </c>
      <c r="D497" s="12" t="s">
        <v>44</v>
      </c>
      <c r="E497" s="12" t="s">
        <v>3</v>
      </c>
      <c r="F497" s="12"/>
      <c r="G497" s="12" t="s">
        <v>1</v>
      </c>
      <c r="H497" s="12" t="s">
        <v>109</v>
      </c>
      <c r="I497" s="12" t="s">
        <v>140</v>
      </c>
      <c r="J497" s="12" t="s">
        <v>2</v>
      </c>
      <c r="L497" s="4" t="e">
        <f>(#REF!-#REF!)</f>
        <v>#REF!</v>
      </c>
      <c r="M497" s="3" t="e">
        <f t="shared" si="9"/>
        <v>#REF!</v>
      </c>
      <c r="N497" s="2" t="e">
        <f>IF(#REF!=#REF!,"","Start")</f>
        <v>#REF!</v>
      </c>
    </row>
    <row r="498" spans="1:14" x14ac:dyDescent="0.55000000000000004">
      <c r="A498" s="11">
        <v>45055.424537037034</v>
      </c>
      <c r="B498" s="12" t="s">
        <v>139</v>
      </c>
      <c r="C498" s="12" t="s">
        <v>0</v>
      </c>
      <c r="D498" s="12" t="s">
        <v>41</v>
      </c>
      <c r="E498" s="12" t="s">
        <v>142</v>
      </c>
      <c r="F498" s="12" t="s">
        <v>43</v>
      </c>
      <c r="G498" s="12" t="s">
        <v>1</v>
      </c>
      <c r="H498" s="12" t="s">
        <v>109</v>
      </c>
      <c r="I498" s="12" t="s">
        <v>140</v>
      </c>
      <c r="J498" s="12" t="s">
        <v>2</v>
      </c>
      <c r="L498" s="4" t="e">
        <f>(#REF!-#REF!)</f>
        <v>#REF!</v>
      </c>
      <c r="M498" s="3" t="e">
        <f t="shared" si="9"/>
        <v>#REF!</v>
      </c>
      <c r="N498" s="2" t="e">
        <f>IF(#REF!=#REF!,"","Start")</f>
        <v>#REF!</v>
      </c>
    </row>
    <row r="499" spans="1:14" x14ac:dyDescent="0.55000000000000004">
      <c r="A499" s="11">
        <v>45055.42454861111</v>
      </c>
      <c r="B499" s="12" t="s">
        <v>139</v>
      </c>
      <c r="C499" s="12" t="s">
        <v>0</v>
      </c>
      <c r="D499" s="12" t="s">
        <v>41</v>
      </c>
      <c r="E499" s="12" t="s">
        <v>3</v>
      </c>
      <c r="F499" s="12"/>
      <c r="G499" s="12" t="s">
        <v>1</v>
      </c>
      <c r="H499" s="12" t="s">
        <v>109</v>
      </c>
      <c r="I499" s="12" t="s">
        <v>140</v>
      </c>
      <c r="J499" s="12" t="s">
        <v>2</v>
      </c>
      <c r="L499" s="4" t="e">
        <f>(#REF!-#REF!)</f>
        <v>#REF!</v>
      </c>
      <c r="M499" s="3" t="e">
        <f t="shared" si="9"/>
        <v>#REF!</v>
      </c>
      <c r="N499" s="2" t="e">
        <f>IF(#REF!=#REF!,"","Start")</f>
        <v>#REF!</v>
      </c>
    </row>
    <row r="500" spans="1:14" x14ac:dyDescent="0.55000000000000004">
      <c r="A500" s="11">
        <v>45055.42460648148</v>
      </c>
      <c r="B500" s="12" t="s">
        <v>139</v>
      </c>
      <c r="C500" s="12" t="s">
        <v>0</v>
      </c>
      <c r="D500" s="12" t="s">
        <v>36</v>
      </c>
      <c r="E500" s="12" t="s">
        <v>37</v>
      </c>
      <c r="F500" s="12"/>
      <c r="G500" s="12" t="s">
        <v>1</v>
      </c>
      <c r="H500" s="12" t="s">
        <v>109</v>
      </c>
      <c r="I500" s="12" t="s">
        <v>140</v>
      </c>
      <c r="J500" s="12" t="s">
        <v>2</v>
      </c>
      <c r="L500" s="4" t="e">
        <f>(#REF!-#REF!)</f>
        <v>#REF!</v>
      </c>
      <c r="M500" s="3" t="e">
        <f t="shared" si="9"/>
        <v>#REF!</v>
      </c>
      <c r="N500" s="2" t="e">
        <f>IF(#REF!=#REF!,"","Start")</f>
        <v>#REF!</v>
      </c>
    </row>
    <row r="501" spans="1:14" x14ac:dyDescent="0.55000000000000004">
      <c r="A501" s="11">
        <v>45055.42460648148</v>
      </c>
      <c r="B501" s="12" t="s">
        <v>139</v>
      </c>
      <c r="C501" s="12" t="s">
        <v>12</v>
      </c>
      <c r="D501" s="12" t="s">
        <v>36</v>
      </c>
      <c r="E501" s="12" t="s">
        <v>39</v>
      </c>
      <c r="F501" s="12" t="s">
        <v>141</v>
      </c>
      <c r="G501" s="12" t="s">
        <v>1</v>
      </c>
      <c r="H501" s="12" t="s">
        <v>109</v>
      </c>
      <c r="I501" s="12" t="s">
        <v>140</v>
      </c>
      <c r="J501" s="12" t="s">
        <v>2</v>
      </c>
      <c r="L501" s="4" t="e">
        <f>(#REF!-A501)</f>
        <v>#REF!</v>
      </c>
      <c r="M501" s="3" t="e">
        <f t="shared" si="9"/>
        <v>#REF!</v>
      </c>
      <c r="N501" s="2" t="e">
        <f>IF(B501=#REF!,"","Start")</f>
        <v>#REF!</v>
      </c>
    </row>
    <row r="502" spans="1:14" x14ac:dyDescent="0.55000000000000004">
      <c r="L502" s="4">
        <f t="shared" ref="L502:L515" si="10">(A501-A502)</f>
        <v>45055.42460648148</v>
      </c>
      <c r="N502"/>
    </row>
    <row r="503" spans="1:14" x14ac:dyDescent="0.55000000000000004">
      <c r="L503" s="4">
        <f t="shared" si="10"/>
        <v>0</v>
      </c>
      <c r="N503"/>
    </row>
    <row r="504" spans="1:14" x14ac:dyDescent="0.55000000000000004">
      <c r="L504" s="4">
        <f t="shared" si="10"/>
        <v>0</v>
      </c>
      <c r="N504"/>
    </row>
    <row r="505" spans="1:14" x14ac:dyDescent="0.55000000000000004">
      <c r="L505" s="4">
        <f t="shared" si="10"/>
        <v>0</v>
      </c>
      <c r="N505"/>
    </row>
    <row r="506" spans="1:14" x14ac:dyDescent="0.55000000000000004">
      <c r="L506" s="4">
        <f t="shared" si="10"/>
        <v>0</v>
      </c>
      <c r="N506"/>
    </row>
    <row r="507" spans="1:14" x14ac:dyDescent="0.55000000000000004">
      <c r="L507" s="4">
        <f t="shared" si="10"/>
        <v>0</v>
      </c>
      <c r="N507"/>
    </row>
    <row r="508" spans="1:14" x14ac:dyDescent="0.55000000000000004">
      <c r="L508" s="4">
        <f t="shared" si="10"/>
        <v>0</v>
      </c>
      <c r="N508"/>
    </row>
    <row r="509" spans="1:14" x14ac:dyDescent="0.55000000000000004">
      <c r="L509" s="4">
        <f t="shared" si="10"/>
        <v>0</v>
      </c>
      <c r="N509"/>
    </row>
    <row r="510" spans="1:14" x14ac:dyDescent="0.55000000000000004">
      <c r="L510" s="4">
        <f t="shared" si="10"/>
        <v>0</v>
      </c>
      <c r="N510"/>
    </row>
    <row r="511" spans="1:14" x14ac:dyDescent="0.55000000000000004">
      <c r="L511" s="4">
        <f t="shared" si="10"/>
        <v>0</v>
      </c>
      <c r="N511"/>
    </row>
    <row r="512" spans="1:14" x14ac:dyDescent="0.55000000000000004">
      <c r="L512" s="4">
        <f t="shared" si="10"/>
        <v>0</v>
      </c>
      <c r="N512"/>
    </row>
    <row r="513" spans="12:14" x14ac:dyDescent="0.55000000000000004">
      <c r="L513" s="4">
        <f t="shared" si="10"/>
        <v>0</v>
      </c>
      <c r="N513"/>
    </row>
    <row r="514" spans="12:14" x14ac:dyDescent="0.55000000000000004">
      <c r="L514" s="4">
        <f t="shared" si="10"/>
        <v>0</v>
      </c>
      <c r="N514"/>
    </row>
    <row r="515" spans="12:14" x14ac:dyDescent="0.55000000000000004">
      <c r="L515" s="4">
        <f t="shared" si="10"/>
        <v>0</v>
      </c>
      <c r="N515"/>
    </row>
    <row r="516" spans="12:14" x14ac:dyDescent="0.55000000000000004">
      <c r="L516" s="4">
        <f t="shared" ref="L516:L579" si="11">(A515-A516)</f>
        <v>0</v>
      </c>
      <c r="N516"/>
    </row>
    <row r="517" spans="12:14" x14ac:dyDescent="0.55000000000000004">
      <c r="L517" s="4">
        <f t="shared" si="11"/>
        <v>0</v>
      </c>
      <c r="N517"/>
    </row>
    <row r="518" spans="12:14" x14ac:dyDescent="0.55000000000000004">
      <c r="L518" s="4">
        <f t="shared" si="11"/>
        <v>0</v>
      </c>
      <c r="N518"/>
    </row>
    <row r="519" spans="12:14" x14ac:dyDescent="0.55000000000000004">
      <c r="L519" s="4">
        <f t="shared" si="11"/>
        <v>0</v>
      </c>
      <c r="N519"/>
    </row>
    <row r="520" spans="12:14" x14ac:dyDescent="0.55000000000000004">
      <c r="L520" s="4">
        <f t="shared" si="11"/>
        <v>0</v>
      </c>
      <c r="N520"/>
    </row>
    <row r="521" spans="12:14" x14ac:dyDescent="0.55000000000000004">
      <c r="L521" s="4">
        <f t="shared" si="11"/>
        <v>0</v>
      </c>
      <c r="N521"/>
    </row>
    <row r="522" spans="12:14" x14ac:dyDescent="0.55000000000000004">
      <c r="L522" s="4">
        <f t="shared" si="11"/>
        <v>0</v>
      </c>
      <c r="N522"/>
    </row>
    <row r="523" spans="12:14" x14ac:dyDescent="0.55000000000000004">
      <c r="L523" s="4">
        <f t="shared" si="11"/>
        <v>0</v>
      </c>
      <c r="N523"/>
    </row>
    <row r="524" spans="12:14" x14ac:dyDescent="0.55000000000000004">
      <c r="L524" s="4">
        <f t="shared" si="11"/>
        <v>0</v>
      </c>
      <c r="N524"/>
    </row>
    <row r="525" spans="12:14" x14ac:dyDescent="0.55000000000000004">
      <c r="L525" s="4">
        <f t="shared" si="11"/>
        <v>0</v>
      </c>
      <c r="N525"/>
    </row>
    <row r="526" spans="12:14" x14ac:dyDescent="0.55000000000000004">
      <c r="L526" s="4">
        <f t="shared" si="11"/>
        <v>0</v>
      </c>
      <c r="N526"/>
    </row>
    <row r="527" spans="12:14" x14ac:dyDescent="0.55000000000000004">
      <c r="L527" s="4">
        <f t="shared" si="11"/>
        <v>0</v>
      </c>
      <c r="N527"/>
    </row>
    <row r="528" spans="12:14" x14ac:dyDescent="0.55000000000000004">
      <c r="L528" s="4">
        <f t="shared" si="11"/>
        <v>0</v>
      </c>
      <c r="N528"/>
    </row>
    <row r="529" spans="12:14" x14ac:dyDescent="0.55000000000000004">
      <c r="L529" s="4">
        <f t="shared" si="11"/>
        <v>0</v>
      </c>
      <c r="N529"/>
    </row>
    <row r="530" spans="12:14" x14ac:dyDescent="0.55000000000000004">
      <c r="L530" s="4">
        <f t="shared" si="11"/>
        <v>0</v>
      </c>
      <c r="N530"/>
    </row>
    <row r="531" spans="12:14" x14ac:dyDescent="0.55000000000000004">
      <c r="L531" s="4">
        <f t="shared" si="11"/>
        <v>0</v>
      </c>
      <c r="N531"/>
    </row>
    <row r="532" spans="12:14" x14ac:dyDescent="0.55000000000000004">
      <c r="L532" s="4">
        <f t="shared" si="11"/>
        <v>0</v>
      </c>
      <c r="N532"/>
    </row>
    <row r="533" spans="12:14" x14ac:dyDescent="0.55000000000000004">
      <c r="L533" s="4">
        <f t="shared" si="11"/>
        <v>0</v>
      </c>
      <c r="N533"/>
    </row>
    <row r="534" spans="12:14" x14ac:dyDescent="0.55000000000000004">
      <c r="L534" s="4">
        <f t="shared" si="11"/>
        <v>0</v>
      </c>
      <c r="N534"/>
    </row>
    <row r="535" spans="12:14" x14ac:dyDescent="0.55000000000000004">
      <c r="L535" s="4">
        <f t="shared" si="11"/>
        <v>0</v>
      </c>
      <c r="N535"/>
    </row>
    <row r="536" spans="12:14" x14ac:dyDescent="0.55000000000000004">
      <c r="L536" s="4">
        <f t="shared" si="11"/>
        <v>0</v>
      </c>
      <c r="N536"/>
    </row>
    <row r="537" spans="12:14" x14ac:dyDescent="0.55000000000000004">
      <c r="L537" s="4">
        <f t="shared" si="11"/>
        <v>0</v>
      </c>
      <c r="N537"/>
    </row>
    <row r="538" spans="12:14" x14ac:dyDescent="0.55000000000000004">
      <c r="L538" s="4">
        <f t="shared" si="11"/>
        <v>0</v>
      </c>
      <c r="N538"/>
    </row>
    <row r="539" spans="12:14" x14ac:dyDescent="0.55000000000000004">
      <c r="L539" s="4">
        <f t="shared" si="11"/>
        <v>0</v>
      </c>
      <c r="N539"/>
    </row>
    <row r="540" spans="12:14" x14ac:dyDescent="0.55000000000000004">
      <c r="L540" s="4">
        <f t="shared" si="11"/>
        <v>0</v>
      </c>
      <c r="N540"/>
    </row>
    <row r="541" spans="12:14" x14ac:dyDescent="0.55000000000000004">
      <c r="L541" s="4">
        <f t="shared" si="11"/>
        <v>0</v>
      </c>
      <c r="N541"/>
    </row>
    <row r="542" spans="12:14" x14ac:dyDescent="0.55000000000000004">
      <c r="L542" s="4">
        <f t="shared" si="11"/>
        <v>0</v>
      </c>
      <c r="N542"/>
    </row>
    <row r="543" spans="12:14" x14ac:dyDescent="0.55000000000000004">
      <c r="L543" s="4">
        <f t="shared" si="11"/>
        <v>0</v>
      </c>
      <c r="N543"/>
    </row>
    <row r="544" spans="12:14" x14ac:dyDescent="0.55000000000000004">
      <c r="L544" s="4">
        <f t="shared" si="11"/>
        <v>0</v>
      </c>
      <c r="N544"/>
    </row>
    <row r="545" spans="12:14" x14ac:dyDescent="0.55000000000000004">
      <c r="L545" s="4">
        <f t="shared" si="11"/>
        <v>0</v>
      </c>
      <c r="N545"/>
    </row>
    <row r="546" spans="12:14" x14ac:dyDescent="0.55000000000000004">
      <c r="L546" s="4">
        <f t="shared" si="11"/>
        <v>0</v>
      </c>
      <c r="N546"/>
    </row>
    <row r="547" spans="12:14" x14ac:dyDescent="0.55000000000000004">
      <c r="L547" s="4">
        <f t="shared" si="11"/>
        <v>0</v>
      </c>
      <c r="N547"/>
    </row>
    <row r="548" spans="12:14" x14ac:dyDescent="0.55000000000000004">
      <c r="L548" s="4">
        <f t="shared" si="11"/>
        <v>0</v>
      </c>
      <c r="N548"/>
    </row>
    <row r="549" spans="12:14" x14ac:dyDescent="0.55000000000000004">
      <c r="L549" s="4">
        <f t="shared" si="11"/>
        <v>0</v>
      </c>
      <c r="N549"/>
    </row>
    <row r="550" spans="12:14" x14ac:dyDescent="0.55000000000000004">
      <c r="L550" s="4">
        <f t="shared" si="11"/>
        <v>0</v>
      </c>
      <c r="N550"/>
    </row>
    <row r="551" spans="12:14" x14ac:dyDescent="0.55000000000000004">
      <c r="L551" s="4">
        <f t="shared" si="11"/>
        <v>0</v>
      </c>
      <c r="N551"/>
    </row>
    <row r="552" spans="12:14" x14ac:dyDescent="0.55000000000000004">
      <c r="L552" s="4">
        <f t="shared" si="11"/>
        <v>0</v>
      </c>
      <c r="N552"/>
    </row>
    <row r="553" spans="12:14" x14ac:dyDescent="0.55000000000000004">
      <c r="L553" s="4">
        <f t="shared" si="11"/>
        <v>0</v>
      </c>
      <c r="N553"/>
    </row>
    <row r="554" spans="12:14" x14ac:dyDescent="0.55000000000000004">
      <c r="L554" s="4">
        <f t="shared" si="11"/>
        <v>0</v>
      </c>
      <c r="N554"/>
    </row>
    <row r="555" spans="12:14" x14ac:dyDescent="0.55000000000000004">
      <c r="L555" s="4">
        <f t="shared" si="11"/>
        <v>0</v>
      </c>
      <c r="N555"/>
    </row>
    <row r="556" spans="12:14" x14ac:dyDescent="0.55000000000000004">
      <c r="L556" s="4">
        <f t="shared" si="11"/>
        <v>0</v>
      </c>
      <c r="N556"/>
    </row>
    <row r="557" spans="12:14" x14ac:dyDescent="0.55000000000000004">
      <c r="L557" s="4">
        <f t="shared" si="11"/>
        <v>0</v>
      </c>
      <c r="N557"/>
    </row>
    <row r="558" spans="12:14" x14ac:dyDescent="0.55000000000000004">
      <c r="L558" s="4">
        <f t="shared" si="11"/>
        <v>0</v>
      </c>
      <c r="N558"/>
    </row>
    <row r="559" spans="12:14" x14ac:dyDescent="0.55000000000000004">
      <c r="L559" s="4">
        <f t="shared" si="11"/>
        <v>0</v>
      </c>
      <c r="N559"/>
    </row>
    <row r="560" spans="12:14" x14ac:dyDescent="0.55000000000000004">
      <c r="L560" s="4">
        <f t="shared" si="11"/>
        <v>0</v>
      </c>
      <c r="N560"/>
    </row>
    <row r="561" spans="12:14" x14ac:dyDescent="0.55000000000000004">
      <c r="L561" s="4">
        <f t="shared" si="11"/>
        <v>0</v>
      </c>
      <c r="N561"/>
    </row>
    <row r="562" spans="12:14" x14ac:dyDescent="0.55000000000000004">
      <c r="L562" s="4">
        <f t="shared" si="11"/>
        <v>0</v>
      </c>
      <c r="N562"/>
    </row>
    <row r="563" spans="12:14" x14ac:dyDescent="0.55000000000000004">
      <c r="L563" s="4">
        <f t="shared" si="11"/>
        <v>0</v>
      </c>
      <c r="N563"/>
    </row>
    <row r="564" spans="12:14" x14ac:dyDescent="0.55000000000000004">
      <c r="L564" s="4">
        <f t="shared" si="11"/>
        <v>0</v>
      </c>
      <c r="N564"/>
    </row>
    <row r="565" spans="12:14" x14ac:dyDescent="0.55000000000000004">
      <c r="L565" s="4">
        <f t="shared" si="11"/>
        <v>0</v>
      </c>
      <c r="N565"/>
    </row>
    <row r="566" spans="12:14" x14ac:dyDescent="0.55000000000000004">
      <c r="L566" s="4">
        <f t="shared" si="11"/>
        <v>0</v>
      </c>
      <c r="N566"/>
    </row>
    <row r="567" spans="12:14" x14ac:dyDescent="0.55000000000000004">
      <c r="L567" s="4">
        <f t="shared" si="11"/>
        <v>0</v>
      </c>
      <c r="N567"/>
    </row>
    <row r="568" spans="12:14" x14ac:dyDescent="0.55000000000000004">
      <c r="L568" s="4">
        <f t="shared" si="11"/>
        <v>0</v>
      </c>
      <c r="N568"/>
    </row>
    <row r="569" spans="12:14" x14ac:dyDescent="0.55000000000000004">
      <c r="L569" s="4">
        <f t="shared" si="11"/>
        <v>0</v>
      </c>
      <c r="N569"/>
    </row>
    <row r="570" spans="12:14" x14ac:dyDescent="0.55000000000000004">
      <c r="L570" s="4">
        <f t="shared" si="11"/>
        <v>0</v>
      </c>
      <c r="N570"/>
    </row>
    <row r="571" spans="12:14" x14ac:dyDescent="0.55000000000000004">
      <c r="L571" s="4">
        <f t="shared" si="11"/>
        <v>0</v>
      </c>
      <c r="N571"/>
    </row>
    <row r="572" spans="12:14" x14ac:dyDescent="0.55000000000000004">
      <c r="L572" s="4">
        <f t="shared" si="11"/>
        <v>0</v>
      </c>
      <c r="N572"/>
    </row>
    <row r="573" spans="12:14" x14ac:dyDescent="0.55000000000000004">
      <c r="L573" s="4">
        <f t="shared" si="11"/>
        <v>0</v>
      </c>
      <c r="N573"/>
    </row>
    <row r="574" spans="12:14" x14ac:dyDescent="0.55000000000000004">
      <c r="L574" s="4">
        <f t="shared" si="11"/>
        <v>0</v>
      </c>
      <c r="N574"/>
    </row>
    <row r="575" spans="12:14" x14ac:dyDescent="0.55000000000000004">
      <c r="L575" s="4">
        <f t="shared" si="11"/>
        <v>0</v>
      </c>
      <c r="N575"/>
    </row>
    <row r="576" spans="12:14" x14ac:dyDescent="0.55000000000000004">
      <c r="L576" s="4">
        <f t="shared" si="11"/>
        <v>0</v>
      </c>
      <c r="N576"/>
    </row>
    <row r="577" spans="12:14" x14ac:dyDescent="0.55000000000000004">
      <c r="L577" s="4">
        <f t="shared" si="11"/>
        <v>0</v>
      </c>
      <c r="N577"/>
    </row>
    <row r="578" spans="12:14" x14ac:dyDescent="0.55000000000000004">
      <c r="L578" s="4">
        <f t="shared" si="11"/>
        <v>0</v>
      </c>
      <c r="N578"/>
    </row>
    <row r="579" spans="12:14" x14ac:dyDescent="0.55000000000000004">
      <c r="L579" s="4">
        <f t="shared" si="11"/>
        <v>0</v>
      </c>
      <c r="N579"/>
    </row>
    <row r="580" spans="12:14" x14ac:dyDescent="0.55000000000000004">
      <c r="L580" s="4">
        <f t="shared" ref="L580:L643" si="12">(A579-A580)</f>
        <v>0</v>
      </c>
      <c r="N580"/>
    </row>
    <row r="581" spans="12:14" x14ac:dyDescent="0.55000000000000004">
      <c r="L581" s="4">
        <f t="shared" si="12"/>
        <v>0</v>
      </c>
      <c r="N581"/>
    </row>
    <row r="582" spans="12:14" x14ac:dyDescent="0.55000000000000004">
      <c r="L582" s="4">
        <f t="shared" si="12"/>
        <v>0</v>
      </c>
      <c r="N582"/>
    </row>
    <row r="583" spans="12:14" x14ac:dyDescent="0.55000000000000004">
      <c r="L583" s="4">
        <f t="shared" si="12"/>
        <v>0</v>
      </c>
      <c r="N583"/>
    </row>
    <row r="584" spans="12:14" x14ac:dyDescent="0.55000000000000004">
      <c r="L584" s="4">
        <f t="shared" si="12"/>
        <v>0</v>
      </c>
      <c r="N584"/>
    </row>
    <row r="585" spans="12:14" x14ac:dyDescent="0.55000000000000004">
      <c r="L585" s="4">
        <f t="shared" si="12"/>
        <v>0</v>
      </c>
      <c r="N585"/>
    </row>
    <row r="586" spans="12:14" x14ac:dyDescent="0.55000000000000004">
      <c r="L586" s="4">
        <f t="shared" si="12"/>
        <v>0</v>
      </c>
      <c r="N586"/>
    </row>
    <row r="587" spans="12:14" x14ac:dyDescent="0.55000000000000004">
      <c r="L587" s="4">
        <f t="shared" si="12"/>
        <v>0</v>
      </c>
      <c r="N587"/>
    </row>
    <row r="588" spans="12:14" x14ac:dyDescent="0.55000000000000004">
      <c r="L588" s="4">
        <f t="shared" si="12"/>
        <v>0</v>
      </c>
      <c r="N588"/>
    </row>
    <row r="589" spans="12:14" x14ac:dyDescent="0.55000000000000004">
      <c r="L589" s="4">
        <f t="shared" si="12"/>
        <v>0</v>
      </c>
      <c r="N589"/>
    </row>
    <row r="590" spans="12:14" x14ac:dyDescent="0.55000000000000004">
      <c r="L590" s="4">
        <f t="shared" si="12"/>
        <v>0</v>
      </c>
      <c r="N590"/>
    </row>
    <row r="591" spans="12:14" x14ac:dyDescent="0.55000000000000004">
      <c r="L591" s="4">
        <f t="shared" si="12"/>
        <v>0</v>
      </c>
      <c r="N591"/>
    </row>
    <row r="592" spans="12:14" x14ac:dyDescent="0.55000000000000004">
      <c r="L592" s="4">
        <f t="shared" si="12"/>
        <v>0</v>
      </c>
      <c r="N592"/>
    </row>
    <row r="593" spans="12:14" x14ac:dyDescent="0.55000000000000004">
      <c r="L593" s="4">
        <f t="shared" si="12"/>
        <v>0</v>
      </c>
      <c r="N593"/>
    </row>
    <row r="594" spans="12:14" x14ac:dyDescent="0.55000000000000004">
      <c r="L594" s="4">
        <f t="shared" si="12"/>
        <v>0</v>
      </c>
      <c r="N594"/>
    </row>
    <row r="595" spans="12:14" x14ac:dyDescent="0.55000000000000004">
      <c r="L595" s="4">
        <f t="shared" si="12"/>
        <v>0</v>
      </c>
      <c r="N595"/>
    </row>
    <row r="596" spans="12:14" x14ac:dyDescent="0.55000000000000004">
      <c r="L596" s="4">
        <f t="shared" si="12"/>
        <v>0</v>
      </c>
      <c r="N596"/>
    </row>
    <row r="597" spans="12:14" x14ac:dyDescent="0.55000000000000004">
      <c r="L597" s="4">
        <f t="shared" si="12"/>
        <v>0</v>
      </c>
      <c r="N597"/>
    </row>
    <row r="598" spans="12:14" x14ac:dyDescent="0.55000000000000004">
      <c r="L598" s="4">
        <f t="shared" si="12"/>
        <v>0</v>
      </c>
      <c r="N598"/>
    </row>
    <row r="599" spans="12:14" x14ac:dyDescent="0.55000000000000004">
      <c r="L599" s="4">
        <f t="shared" si="12"/>
        <v>0</v>
      </c>
      <c r="N599"/>
    </row>
    <row r="600" spans="12:14" x14ac:dyDescent="0.55000000000000004">
      <c r="L600" s="4">
        <f t="shared" si="12"/>
        <v>0</v>
      </c>
      <c r="N600"/>
    </row>
    <row r="601" spans="12:14" x14ac:dyDescent="0.55000000000000004">
      <c r="L601" s="4">
        <f t="shared" si="12"/>
        <v>0</v>
      </c>
      <c r="N601"/>
    </row>
    <row r="602" spans="12:14" x14ac:dyDescent="0.55000000000000004">
      <c r="L602" s="4">
        <f t="shared" si="12"/>
        <v>0</v>
      </c>
      <c r="N602"/>
    </row>
    <row r="603" spans="12:14" x14ac:dyDescent="0.55000000000000004">
      <c r="L603" s="4">
        <f t="shared" si="12"/>
        <v>0</v>
      </c>
      <c r="N603"/>
    </row>
    <row r="604" spans="12:14" x14ac:dyDescent="0.55000000000000004">
      <c r="L604" s="4">
        <f t="shared" si="12"/>
        <v>0</v>
      </c>
      <c r="N604"/>
    </row>
    <row r="605" spans="12:14" x14ac:dyDescent="0.55000000000000004">
      <c r="L605" s="4">
        <f t="shared" si="12"/>
        <v>0</v>
      </c>
      <c r="N605"/>
    </row>
    <row r="606" spans="12:14" x14ac:dyDescent="0.55000000000000004">
      <c r="L606" s="4">
        <f t="shared" si="12"/>
        <v>0</v>
      </c>
      <c r="N606"/>
    </row>
    <row r="607" spans="12:14" x14ac:dyDescent="0.55000000000000004">
      <c r="L607" s="4">
        <f t="shared" si="12"/>
        <v>0</v>
      </c>
      <c r="N607"/>
    </row>
    <row r="608" spans="12:14" x14ac:dyDescent="0.55000000000000004">
      <c r="L608" s="4">
        <f t="shared" si="12"/>
        <v>0</v>
      </c>
      <c r="N608"/>
    </row>
    <row r="609" spans="12:14" x14ac:dyDescent="0.55000000000000004">
      <c r="L609" s="4">
        <f t="shared" si="12"/>
        <v>0</v>
      </c>
      <c r="N609"/>
    </row>
    <row r="610" spans="12:14" x14ac:dyDescent="0.55000000000000004">
      <c r="L610" s="4">
        <f t="shared" si="12"/>
        <v>0</v>
      </c>
      <c r="N610"/>
    </row>
    <row r="611" spans="12:14" x14ac:dyDescent="0.55000000000000004">
      <c r="L611" s="4">
        <f t="shared" si="12"/>
        <v>0</v>
      </c>
      <c r="N611"/>
    </row>
    <row r="612" spans="12:14" x14ac:dyDescent="0.55000000000000004">
      <c r="L612" s="4">
        <f t="shared" si="12"/>
        <v>0</v>
      </c>
      <c r="N612"/>
    </row>
    <row r="613" spans="12:14" x14ac:dyDescent="0.55000000000000004">
      <c r="L613" s="4">
        <f t="shared" si="12"/>
        <v>0</v>
      </c>
      <c r="N613"/>
    </row>
    <row r="614" spans="12:14" x14ac:dyDescent="0.55000000000000004">
      <c r="L614" s="4">
        <f t="shared" si="12"/>
        <v>0</v>
      </c>
      <c r="N614"/>
    </row>
    <row r="615" spans="12:14" x14ac:dyDescent="0.55000000000000004">
      <c r="L615" s="4">
        <f t="shared" si="12"/>
        <v>0</v>
      </c>
      <c r="N615"/>
    </row>
    <row r="616" spans="12:14" x14ac:dyDescent="0.55000000000000004">
      <c r="L616" s="4">
        <f t="shared" si="12"/>
        <v>0</v>
      </c>
      <c r="N616"/>
    </row>
    <row r="617" spans="12:14" x14ac:dyDescent="0.55000000000000004">
      <c r="L617" s="4">
        <f t="shared" si="12"/>
        <v>0</v>
      </c>
      <c r="N617"/>
    </row>
    <row r="618" spans="12:14" x14ac:dyDescent="0.55000000000000004">
      <c r="L618" s="4">
        <f t="shared" si="12"/>
        <v>0</v>
      </c>
      <c r="N618"/>
    </row>
    <row r="619" spans="12:14" x14ac:dyDescent="0.55000000000000004">
      <c r="L619" s="4">
        <f t="shared" si="12"/>
        <v>0</v>
      </c>
      <c r="N619"/>
    </row>
    <row r="620" spans="12:14" x14ac:dyDescent="0.55000000000000004">
      <c r="L620" s="4">
        <f t="shared" si="12"/>
        <v>0</v>
      </c>
      <c r="N620"/>
    </row>
    <row r="621" spans="12:14" x14ac:dyDescent="0.55000000000000004">
      <c r="L621" s="4">
        <f t="shared" si="12"/>
        <v>0</v>
      </c>
      <c r="N621"/>
    </row>
    <row r="622" spans="12:14" x14ac:dyDescent="0.55000000000000004">
      <c r="L622" s="4">
        <f t="shared" si="12"/>
        <v>0</v>
      </c>
      <c r="N622"/>
    </row>
    <row r="623" spans="12:14" x14ac:dyDescent="0.55000000000000004">
      <c r="L623" s="4">
        <f t="shared" si="12"/>
        <v>0</v>
      </c>
      <c r="N623"/>
    </row>
    <row r="624" spans="12:14" x14ac:dyDescent="0.55000000000000004">
      <c r="L624" s="4">
        <f t="shared" si="12"/>
        <v>0</v>
      </c>
      <c r="N624"/>
    </row>
    <row r="625" spans="12:14" x14ac:dyDescent="0.55000000000000004">
      <c r="L625" s="4">
        <f t="shared" si="12"/>
        <v>0</v>
      </c>
      <c r="N625"/>
    </row>
    <row r="626" spans="12:14" x14ac:dyDescent="0.55000000000000004">
      <c r="L626" s="4">
        <f t="shared" si="12"/>
        <v>0</v>
      </c>
      <c r="N626"/>
    </row>
    <row r="627" spans="12:14" x14ac:dyDescent="0.55000000000000004">
      <c r="L627" s="4">
        <f t="shared" si="12"/>
        <v>0</v>
      </c>
      <c r="N627"/>
    </row>
    <row r="628" spans="12:14" x14ac:dyDescent="0.55000000000000004">
      <c r="L628" s="4">
        <f t="shared" si="12"/>
        <v>0</v>
      </c>
      <c r="N628"/>
    </row>
    <row r="629" spans="12:14" x14ac:dyDescent="0.55000000000000004">
      <c r="L629" s="4">
        <f t="shared" si="12"/>
        <v>0</v>
      </c>
      <c r="N629"/>
    </row>
    <row r="630" spans="12:14" x14ac:dyDescent="0.55000000000000004">
      <c r="L630" s="4">
        <f t="shared" si="12"/>
        <v>0</v>
      </c>
      <c r="N630"/>
    </row>
    <row r="631" spans="12:14" x14ac:dyDescent="0.55000000000000004">
      <c r="L631" s="4">
        <f t="shared" si="12"/>
        <v>0</v>
      </c>
      <c r="N631"/>
    </row>
    <row r="632" spans="12:14" x14ac:dyDescent="0.55000000000000004">
      <c r="L632" s="4">
        <f t="shared" si="12"/>
        <v>0</v>
      </c>
      <c r="N632"/>
    </row>
    <row r="633" spans="12:14" x14ac:dyDescent="0.55000000000000004">
      <c r="L633" s="4">
        <f t="shared" si="12"/>
        <v>0</v>
      </c>
      <c r="N633"/>
    </row>
    <row r="634" spans="12:14" x14ac:dyDescent="0.55000000000000004">
      <c r="L634" s="4">
        <f t="shared" si="12"/>
        <v>0</v>
      </c>
      <c r="N634"/>
    </row>
    <row r="635" spans="12:14" x14ac:dyDescent="0.55000000000000004">
      <c r="L635" s="4">
        <f t="shared" si="12"/>
        <v>0</v>
      </c>
      <c r="N635"/>
    </row>
    <row r="636" spans="12:14" x14ac:dyDescent="0.55000000000000004">
      <c r="L636" s="4">
        <f t="shared" si="12"/>
        <v>0</v>
      </c>
      <c r="N636"/>
    </row>
    <row r="637" spans="12:14" x14ac:dyDescent="0.55000000000000004">
      <c r="L637" s="4">
        <f t="shared" si="12"/>
        <v>0</v>
      </c>
      <c r="N637"/>
    </row>
    <row r="638" spans="12:14" x14ac:dyDescent="0.55000000000000004">
      <c r="L638" s="4">
        <f t="shared" si="12"/>
        <v>0</v>
      </c>
      <c r="N638"/>
    </row>
    <row r="639" spans="12:14" x14ac:dyDescent="0.55000000000000004">
      <c r="L639" s="4">
        <f t="shared" si="12"/>
        <v>0</v>
      </c>
      <c r="N639"/>
    </row>
    <row r="640" spans="12:14" x14ac:dyDescent="0.55000000000000004">
      <c r="L640" s="4">
        <f t="shared" si="12"/>
        <v>0</v>
      </c>
      <c r="N640"/>
    </row>
    <row r="641" spans="12:14" x14ac:dyDescent="0.55000000000000004">
      <c r="L641" s="4">
        <f t="shared" si="12"/>
        <v>0</v>
      </c>
      <c r="N641"/>
    </row>
    <row r="642" spans="12:14" x14ac:dyDescent="0.55000000000000004">
      <c r="L642" s="4">
        <f t="shared" si="12"/>
        <v>0</v>
      </c>
      <c r="N642"/>
    </row>
    <row r="643" spans="12:14" x14ac:dyDescent="0.55000000000000004">
      <c r="L643" s="4">
        <f t="shared" si="12"/>
        <v>0</v>
      </c>
      <c r="N643"/>
    </row>
    <row r="644" spans="12:14" x14ac:dyDescent="0.55000000000000004">
      <c r="L644" s="4">
        <f t="shared" ref="L644:L707" si="13">(A643-A644)</f>
        <v>0</v>
      </c>
      <c r="N644"/>
    </row>
    <row r="645" spans="12:14" x14ac:dyDescent="0.55000000000000004">
      <c r="L645" s="4">
        <f t="shared" si="13"/>
        <v>0</v>
      </c>
      <c r="N645"/>
    </row>
    <row r="646" spans="12:14" x14ac:dyDescent="0.55000000000000004">
      <c r="L646" s="4">
        <f t="shared" si="13"/>
        <v>0</v>
      </c>
      <c r="N646"/>
    </row>
    <row r="647" spans="12:14" x14ac:dyDescent="0.55000000000000004">
      <c r="L647" s="4">
        <f t="shared" si="13"/>
        <v>0</v>
      </c>
      <c r="N647"/>
    </row>
    <row r="648" spans="12:14" x14ac:dyDescent="0.55000000000000004">
      <c r="L648" s="4">
        <f t="shared" si="13"/>
        <v>0</v>
      </c>
      <c r="N648"/>
    </row>
    <row r="649" spans="12:14" x14ac:dyDescent="0.55000000000000004">
      <c r="L649" s="4">
        <f t="shared" si="13"/>
        <v>0</v>
      </c>
      <c r="N649"/>
    </row>
    <row r="650" spans="12:14" x14ac:dyDescent="0.55000000000000004">
      <c r="L650" s="4">
        <f t="shared" si="13"/>
        <v>0</v>
      </c>
      <c r="N650"/>
    </row>
    <row r="651" spans="12:14" x14ac:dyDescent="0.55000000000000004">
      <c r="L651" s="4">
        <f t="shared" si="13"/>
        <v>0</v>
      </c>
      <c r="N651"/>
    </row>
    <row r="652" spans="12:14" x14ac:dyDescent="0.55000000000000004">
      <c r="L652" s="4">
        <f t="shared" si="13"/>
        <v>0</v>
      </c>
      <c r="N652"/>
    </row>
    <row r="653" spans="12:14" x14ac:dyDescent="0.55000000000000004">
      <c r="L653" s="4">
        <f t="shared" si="13"/>
        <v>0</v>
      </c>
      <c r="N653"/>
    </row>
    <row r="654" spans="12:14" x14ac:dyDescent="0.55000000000000004">
      <c r="L654" s="4">
        <f t="shared" si="13"/>
        <v>0</v>
      </c>
      <c r="N654"/>
    </row>
    <row r="655" spans="12:14" x14ac:dyDescent="0.55000000000000004">
      <c r="L655" s="4">
        <f t="shared" si="13"/>
        <v>0</v>
      </c>
      <c r="N655"/>
    </row>
    <row r="656" spans="12:14" x14ac:dyDescent="0.55000000000000004">
      <c r="L656" s="4">
        <f t="shared" si="13"/>
        <v>0</v>
      </c>
      <c r="N656"/>
    </row>
    <row r="657" spans="12:14" x14ac:dyDescent="0.55000000000000004">
      <c r="L657" s="4">
        <f t="shared" si="13"/>
        <v>0</v>
      </c>
      <c r="N657"/>
    </row>
    <row r="658" spans="12:14" x14ac:dyDescent="0.55000000000000004">
      <c r="L658" s="4">
        <f t="shared" si="13"/>
        <v>0</v>
      </c>
      <c r="N658"/>
    </row>
    <row r="659" spans="12:14" x14ac:dyDescent="0.55000000000000004">
      <c r="L659" s="4">
        <f t="shared" si="13"/>
        <v>0</v>
      </c>
      <c r="N659"/>
    </row>
    <row r="660" spans="12:14" x14ac:dyDescent="0.55000000000000004">
      <c r="L660" s="4">
        <f t="shared" si="13"/>
        <v>0</v>
      </c>
      <c r="N660"/>
    </row>
    <row r="661" spans="12:14" x14ac:dyDescent="0.55000000000000004">
      <c r="L661" s="4">
        <f t="shared" si="13"/>
        <v>0</v>
      </c>
      <c r="N661"/>
    </row>
    <row r="662" spans="12:14" x14ac:dyDescent="0.55000000000000004">
      <c r="L662" s="4">
        <f t="shared" si="13"/>
        <v>0</v>
      </c>
      <c r="N662"/>
    </row>
    <row r="663" spans="12:14" x14ac:dyDescent="0.55000000000000004">
      <c r="L663" s="4">
        <f t="shared" si="13"/>
        <v>0</v>
      </c>
      <c r="N663"/>
    </row>
    <row r="664" spans="12:14" x14ac:dyDescent="0.55000000000000004">
      <c r="L664" s="4">
        <f t="shared" si="13"/>
        <v>0</v>
      </c>
      <c r="N664"/>
    </row>
    <row r="665" spans="12:14" x14ac:dyDescent="0.55000000000000004">
      <c r="L665" s="4">
        <f t="shared" si="13"/>
        <v>0</v>
      </c>
      <c r="N665"/>
    </row>
    <row r="666" spans="12:14" x14ac:dyDescent="0.55000000000000004">
      <c r="L666" s="4">
        <f t="shared" si="13"/>
        <v>0</v>
      </c>
      <c r="N666"/>
    </row>
    <row r="667" spans="12:14" x14ac:dyDescent="0.55000000000000004">
      <c r="L667" s="4">
        <f t="shared" si="13"/>
        <v>0</v>
      </c>
      <c r="N667"/>
    </row>
    <row r="668" spans="12:14" x14ac:dyDescent="0.55000000000000004">
      <c r="L668" s="4">
        <f t="shared" si="13"/>
        <v>0</v>
      </c>
      <c r="N668"/>
    </row>
    <row r="669" spans="12:14" x14ac:dyDescent="0.55000000000000004">
      <c r="L669" s="4">
        <f t="shared" si="13"/>
        <v>0</v>
      </c>
      <c r="N669"/>
    </row>
    <row r="670" spans="12:14" x14ac:dyDescent="0.55000000000000004">
      <c r="L670" s="4">
        <f t="shared" si="13"/>
        <v>0</v>
      </c>
      <c r="N670"/>
    </row>
    <row r="671" spans="12:14" x14ac:dyDescent="0.55000000000000004">
      <c r="L671" s="4">
        <f t="shared" si="13"/>
        <v>0</v>
      </c>
      <c r="N671"/>
    </row>
    <row r="672" spans="12:14" x14ac:dyDescent="0.55000000000000004">
      <c r="L672" s="4">
        <f t="shared" si="13"/>
        <v>0</v>
      </c>
      <c r="N672"/>
    </row>
    <row r="673" spans="12:14" x14ac:dyDescent="0.55000000000000004">
      <c r="L673" s="4">
        <f t="shared" si="13"/>
        <v>0</v>
      </c>
      <c r="N673"/>
    </row>
    <row r="674" spans="12:14" x14ac:dyDescent="0.55000000000000004">
      <c r="L674" s="4">
        <f t="shared" si="13"/>
        <v>0</v>
      </c>
      <c r="N674"/>
    </row>
    <row r="675" spans="12:14" x14ac:dyDescent="0.55000000000000004">
      <c r="L675" s="4">
        <f t="shared" si="13"/>
        <v>0</v>
      </c>
      <c r="N675"/>
    </row>
    <row r="676" spans="12:14" x14ac:dyDescent="0.55000000000000004">
      <c r="L676" s="4">
        <f t="shared" si="13"/>
        <v>0</v>
      </c>
      <c r="N676"/>
    </row>
    <row r="677" spans="12:14" x14ac:dyDescent="0.55000000000000004">
      <c r="L677" s="4">
        <f t="shared" si="13"/>
        <v>0</v>
      </c>
      <c r="N677"/>
    </row>
    <row r="678" spans="12:14" x14ac:dyDescent="0.55000000000000004">
      <c r="L678" s="4">
        <f t="shared" si="13"/>
        <v>0</v>
      </c>
      <c r="N678"/>
    </row>
    <row r="679" spans="12:14" x14ac:dyDescent="0.55000000000000004">
      <c r="L679" s="4">
        <f t="shared" si="13"/>
        <v>0</v>
      </c>
      <c r="N679"/>
    </row>
    <row r="680" spans="12:14" x14ac:dyDescent="0.55000000000000004">
      <c r="L680" s="4">
        <f t="shared" si="13"/>
        <v>0</v>
      </c>
      <c r="N680"/>
    </row>
    <row r="681" spans="12:14" x14ac:dyDescent="0.55000000000000004">
      <c r="L681" s="4">
        <f t="shared" si="13"/>
        <v>0</v>
      </c>
      <c r="N681"/>
    </row>
    <row r="682" spans="12:14" x14ac:dyDescent="0.55000000000000004">
      <c r="L682" s="4">
        <f t="shared" si="13"/>
        <v>0</v>
      </c>
      <c r="N682"/>
    </row>
    <row r="683" spans="12:14" x14ac:dyDescent="0.55000000000000004">
      <c r="L683" s="4">
        <f t="shared" si="13"/>
        <v>0</v>
      </c>
      <c r="N683"/>
    </row>
    <row r="684" spans="12:14" x14ac:dyDescent="0.55000000000000004">
      <c r="L684" s="4">
        <f t="shared" si="13"/>
        <v>0</v>
      </c>
      <c r="N684"/>
    </row>
    <row r="685" spans="12:14" x14ac:dyDescent="0.55000000000000004">
      <c r="L685" s="4">
        <f t="shared" si="13"/>
        <v>0</v>
      </c>
      <c r="N685"/>
    </row>
    <row r="686" spans="12:14" x14ac:dyDescent="0.55000000000000004">
      <c r="L686" s="4">
        <f t="shared" si="13"/>
        <v>0</v>
      </c>
      <c r="N686"/>
    </row>
    <row r="687" spans="12:14" x14ac:dyDescent="0.55000000000000004">
      <c r="L687" s="4">
        <f t="shared" si="13"/>
        <v>0</v>
      </c>
      <c r="N687"/>
    </row>
    <row r="688" spans="12:14" x14ac:dyDescent="0.55000000000000004">
      <c r="L688" s="4">
        <f t="shared" si="13"/>
        <v>0</v>
      </c>
      <c r="N688"/>
    </row>
    <row r="689" spans="12:14" x14ac:dyDescent="0.55000000000000004">
      <c r="L689" s="4">
        <f t="shared" si="13"/>
        <v>0</v>
      </c>
      <c r="N689"/>
    </row>
    <row r="690" spans="12:14" x14ac:dyDescent="0.55000000000000004">
      <c r="L690" s="4">
        <f t="shared" si="13"/>
        <v>0</v>
      </c>
      <c r="N690"/>
    </row>
    <row r="691" spans="12:14" x14ac:dyDescent="0.55000000000000004">
      <c r="L691" s="4">
        <f t="shared" si="13"/>
        <v>0</v>
      </c>
      <c r="N691"/>
    </row>
    <row r="692" spans="12:14" x14ac:dyDescent="0.55000000000000004">
      <c r="L692" s="4">
        <f t="shared" si="13"/>
        <v>0</v>
      </c>
      <c r="N692"/>
    </row>
    <row r="693" spans="12:14" x14ac:dyDescent="0.55000000000000004">
      <c r="L693" s="4">
        <f t="shared" si="13"/>
        <v>0</v>
      </c>
      <c r="N693"/>
    </row>
    <row r="694" spans="12:14" x14ac:dyDescent="0.55000000000000004">
      <c r="L694" s="4">
        <f t="shared" si="13"/>
        <v>0</v>
      </c>
      <c r="N694"/>
    </row>
    <row r="695" spans="12:14" x14ac:dyDescent="0.55000000000000004">
      <c r="L695" s="4">
        <f t="shared" si="13"/>
        <v>0</v>
      </c>
      <c r="N695"/>
    </row>
    <row r="696" spans="12:14" x14ac:dyDescent="0.55000000000000004">
      <c r="L696" s="4">
        <f t="shared" si="13"/>
        <v>0</v>
      </c>
      <c r="N696"/>
    </row>
    <row r="697" spans="12:14" x14ac:dyDescent="0.55000000000000004">
      <c r="L697" s="4">
        <f t="shared" si="13"/>
        <v>0</v>
      </c>
      <c r="N697"/>
    </row>
    <row r="698" spans="12:14" x14ac:dyDescent="0.55000000000000004">
      <c r="L698" s="4">
        <f t="shared" si="13"/>
        <v>0</v>
      </c>
      <c r="N698"/>
    </row>
    <row r="699" spans="12:14" x14ac:dyDescent="0.55000000000000004">
      <c r="L699" s="4">
        <f t="shared" si="13"/>
        <v>0</v>
      </c>
      <c r="N699"/>
    </row>
    <row r="700" spans="12:14" x14ac:dyDescent="0.55000000000000004">
      <c r="L700" s="4">
        <f t="shared" si="13"/>
        <v>0</v>
      </c>
      <c r="N700"/>
    </row>
    <row r="701" spans="12:14" x14ac:dyDescent="0.55000000000000004">
      <c r="L701" s="4">
        <f t="shared" si="13"/>
        <v>0</v>
      </c>
      <c r="N701"/>
    </row>
    <row r="702" spans="12:14" x14ac:dyDescent="0.55000000000000004">
      <c r="L702" s="4">
        <f t="shared" si="13"/>
        <v>0</v>
      </c>
      <c r="N702"/>
    </row>
    <row r="703" spans="12:14" x14ac:dyDescent="0.55000000000000004">
      <c r="L703" s="4">
        <f t="shared" si="13"/>
        <v>0</v>
      </c>
      <c r="N703"/>
    </row>
    <row r="704" spans="12:14" x14ac:dyDescent="0.55000000000000004">
      <c r="L704" s="4">
        <f t="shared" si="13"/>
        <v>0</v>
      </c>
      <c r="N704"/>
    </row>
    <row r="705" spans="12:14" x14ac:dyDescent="0.55000000000000004">
      <c r="L705" s="4">
        <f t="shared" si="13"/>
        <v>0</v>
      </c>
      <c r="N705"/>
    </row>
    <row r="706" spans="12:14" x14ac:dyDescent="0.55000000000000004">
      <c r="L706" s="4">
        <f t="shared" si="13"/>
        <v>0</v>
      </c>
      <c r="N706"/>
    </row>
    <row r="707" spans="12:14" x14ac:dyDescent="0.55000000000000004">
      <c r="L707" s="4">
        <f t="shared" si="13"/>
        <v>0</v>
      </c>
      <c r="N707"/>
    </row>
    <row r="708" spans="12:14" x14ac:dyDescent="0.55000000000000004">
      <c r="L708" s="4">
        <f t="shared" ref="L708:L771" si="14">(A707-A708)</f>
        <v>0</v>
      </c>
      <c r="N708"/>
    </row>
    <row r="709" spans="12:14" x14ac:dyDescent="0.55000000000000004">
      <c r="L709" s="4">
        <f t="shared" si="14"/>
        <v>0</v>
      </c>
      <c r="N709"/>
    </row>
    <row r="710" spans="12:14" x14ac:dyDescent="0.55000000000000004">
      <c r="L710" s="4">
        <f t="shared" si="14"/>
        <v>0</v>
      </c>
      <c r="N710"/>
    </row>
    <row r="711" spans="12:14" x14ac:dyDescent="0.55000000000000004">
      <c r="L711" s="4">
        <f t="shared" si="14"/>
        <v>0</v>
      </c>
      <c r="N711"/>
    </row>
    <row r="712" spans="12:14" x14ac:dyDescent="0.55000000000000004">
      <c r="L712" s="4">
        <f t="shared" si="14"/>
        <v>0</v>
      </c>
      <c r="N712"/>
    </row>
    <row r="713" spans="12:14" x14ac:dyDescent="0.55000000000000004">
      <c r="L713" s="4">
        <f t="shared" si="14"/>
        <v>0</v>
      </c>
      <c r="N713"/>
    </row>
    <row r="714" spans="12:14" x14ac:dyDescent="0.55000000000000004">
      <c r="L714" s="4">
        <f t="shared" si="14"/>
        <v>0</v>
      </c>
      <c r="N714"/>
    </row>
    <row r="715" spans="12:14" x14ac:dyDescent="0.55000000000000004">
      <c r="L715" s="4">
        <f t="shared" si="14"/>
        <v>0</v>
      </c>
      <c r="N715"/>
    </row>
    <row r="716" spans="12:14" x14ac:dyDescent="0.55000000000000004">
      <c r="L716" s="4">
        <f t="shared" si="14"/>
        <v>0</v>
      </c>
      <c r="N716"/>
    </row>
    <row r="717" spans="12:14" x14ac:dyDescent="0.55000000000000004">
      <c r="L717" s="4">
        <f t="shared" si="14"/>
        <v>0</v>
      </c>
      <c r="N717"/>
    </row>
    <row r="718" spans="12:14" x14ac:dyDescent="0.55000000000000004">
      <c r="L718" s="4">
        <f t="shared" si="14"/>
        <v>0</v>
      </c>
      <c r="N718"/>
    </row>
    <row r="719" spans="12:14" x14ac:dyDescent="0.55000000000000004">
      <c r="L719" s="4">
        <f t="shared" si="14"/>
        <v>0</v>
      </c>
      <c r="N719"/>
    </row>
    <row r="720" spans="12:14" x14ac:dyDescent="0.55000000000000004">
      <c r="L720" s="4">
        <f t="shared" si="14"/>
        <v>0</v>
      </c>
      <c r="N720"/>
    </row>
    <row r="721" spans="12:14" x14ac:dyDescent="0.55000000000000004">
      <c r="L721" s="4">
        <f t="shared" si="14"/>
        <v>0</v>
      </c>
      <c r="N721"/>
    </row>
    <row r="722" spans="12:14" x14ac:dyDescent="0.55000000000000004">
      <c r="L722" s="4">
        <f t="shared" si="14"/>
        <v>0</v>
      </c>
      <c r="N722"/>
    </row>
    <row r="723" spans="12:14" x14ac:dyDescent="0.55000000000000004">
      <c r="L723" s="4">
        <f t="shared" si="14"/>
        <v>0</v>
      </c>
      <c r="N723"/>
    </row>
    <row r="724" spans="12:14" x14ac:dyDescent="0.55000000000000004">
      <c r="L724" s="4">
        <f t="shared" si="14"/>
        <v>0</v>
      </c>
      <c r="N724"/>
    </row>
    <row r="725" spans="12:14" x14ac:dyDescent="0.55000000000000004">
      <c r="L725" s="4">
        <f t="shared" si="14"/>
        <v>0</v>
      </c>
      <c r="N725"/>
    </row>
    <row r="726" spans="12:14" x14ac:dyDescent="0.55000000000000004">
      <c r="L726" s="4">
        <f t="shared" si="14"/>
        <v>0</v>
      </c>
      <c r="N726"/>
    </row>
    <row r="727" spans="12:14" x14ac:dyDescent="0.55000000000000004">
      <c r="L727" s="4">
        <f t="shared" si="14"/>
        <v>0</v>
      </c>
      <c r="N727"/>
    </row>
    <row r="728" spans="12:14" x14ac:dyDescent="0.55000000000000004">
      <c r="L728" s="4">
        <f t="shared" si="14"/>
        <v>0</v>
      </c>
      <c r="N728"/>
    </row>
    <row r="729" spans="12:14" x14ac:dyDescent="0.55000000000000004">
      <c r="L729" s="4">
        <f t="shared" si="14"/>
        <v>0</v>
      </c>
      <c r="N729"/>
    </row>
    <row r="730" spans="12:14" x14ac:dyDescent="0.55000000000000004">
      <c r="L730" s="4">
        <f t="shared" si="14"/>
        <v>0</v>
      </c>
      <c r="N730"/>
    </row>
    <row r="731" spans="12:14" x14ac:dyDescent="0.55000000000000004">
      <c r="L731" s="4">
        <f t="shared" si="14"/>
        <v>0</v>
      </c>
      <c r="N731"/>
    </row>
    <row r="732" spans="12:14" x14ac:dyDescent="0.55000000000000004">
      <c r="L732" s="4">
        <f t="shared" si="14"/>
        <v>0</v>
      </c>
      <c r="N732"/>
    </row>
    <row r="733" spans="12:14" x14ac:dyDescent="0.55000000000000004">
      <c r="L733" s="4">
        <f t="shared" si="14"/>
        <v>0</v>
      </c>
      <c r="N733"/>
    </row>
    <row r="734" spans="12:14" x14ac:dyDescent="0.55000000000000004">
      <c r="L734" s="4">
        <f t="shared" si="14"/>
        <v>0</v>
      </c>
      <c r="N734"/>
    </row>
    <row r="735" spans="12:14" x14ac:dyDescent="0.55000000000000004">
      <c r="L735" s="4">
        <f t="shared" si="14"/>
        <v>0</v>
      </c>
      <c r="N735"/>
    </row>
    <row r="736" spans="12:14" x14ac:dyDescent="0.55000000000000004">
      <c r="L736" s="4">
        <f t="shared" si="14"/>
        <v>0</v>
      </c>
      <c r="N736"/>
    </row>
    <row r="737" spans="12:14" x14ac:dyDescent="0.55000000000000004">
      <c r="L737" s="4">
        <f t="shared" si="14"/>
        <v>0</v>
      </c>
      <c r="N737"/>
    </row>
    <row r="738" spans="12:14" x14ac:dyDescent="0.55000000000000004">
      <c r="L738" s="4">
        <f t="shared" si="14"/>
        <v>0</v>
      </c>
      <c r="N738"/>
    </row>
    <row r="739" spans="12:14" x14ac:dyDescent="0.55000000000000004">
      <c r="L739" s="4">
        <f t="shared" si="14"/>
        <v>0</v>
      </c>
      <c r="N739"/>
    </row>
    <row r="740" spans="12:14" x14ac:dyDescent="0.55000000000000004">
      <c r="L740" s="4">
        <f t="shared" si="14"/>
        <v>0</v>
      </c>
      <c r="N740"/>
    </row>
    <row r="741" spans="12:14" x14ac:dyDescent="0.55000000000000004">
      <c r="L741" s="4">
        <f t="shared" si="14"/>
        <v>0</v>
      </c>
      <c r="N741"/>
    </row>
    <row r="742" spans="12:14" x14ac:dyDescent="0.55000000000000004">
      <c r="L742" s="4">
        <f t="shared" si="14"/>
        <v>0</v>
      </c>
      <c r="N742"/>
    </row>
    <row r="743" spans="12:14" x14ac:dyDescent="0.55000000000000004">
      <c r="L743" s="4">
        <f t="shared" si="14"/>
        <v>0</v>
      </c>
      <c r="N743"/>
    </row>
    <row r="744" spans="12:14" x14ac:dyDescent="0.55000000000000004">
      <c r="L744" s="4">
        <f t="shared" si="14"/>
        <v>0</v>
      </c>
      <c r="N744"/>
    </row>
    <row r="745" spans="12:14" x14ac:dyDescent="0.55000000000000004">
      <c r="L745" s="4">
        <f t="shared" si="14"/>
        <v>0</v>
      </c>
      <c r="N745"/>
    </row>
    <row r="746" spans="12:14" x14ac:dyDescent="0.55000000000000004">
      <c r="L746" s="4">
        <f t="shared" si="14"/>
        <v>0</v>
      </c>
      <c r="N746"/>
    </row>
    <row r="747" spans="12:14" x14ac:dyDescent="0.55000000000000004">
      <c r="L747" s="4">
        <f t="shared" si="14"/>
        <v>0</v>
      </c>
      <c r="N747"/>
    </row>
    <row r="748" spans="12:14" x14ac:dyDescent="0.55000000000000004">
      <c r="L748" s="4">
        <f t="shared" si="14"/>
        <v>0</v>
      </c>
      <c r="N748"/>
    </row>
    <row r="749" spans="12:14" x14ac:dyDescent="0.55000000000000004">
      <c r="L749" s="4">
        <f t="shared" si="14"/>
        <v>0</v>
      </c>
      <c r="N749"/>
    </row>
    <row r="750" spans="12:14" x14ac:dyDescent="0.55000000000000004">
      <c r="L750" s="4">
        <f t="shared" si="14"/>
        <v>0</v>
      </c>
      <c r="N750"/>
    </row>
    <row r="751" spans="12:14" x14ac:dyDescent="0.55000000000000004">
      <c r="L751" s="4">
        <f t="shared" si="14"/>
        <v>0</v>
      </c>
      <c r="N751"/>
    </row>
    <row r="752" spans="12:14" x14ac:dyDescent="0.55000000000000004">
      <c r="L752" s="4">
        <f t="shared" si="14"/>
        <v>0</v>
      </c>
      <c r="N752"/>
    </row>
    <row r="753" spans="12:14" x14ac:dyDescent="0.55000000000000004">
      <c r="L753" s="4">
        <f t="shared" si="14"/>
        <v>0</v>
      </c>
      <c r="N753"/>
    </row>
    <row r="754" spans="12:14" x14ac:dyDescent="0.55000000000000004">
      <c r="L754" s="4">
        <f t="shared" si="14"/>
        <v>0</v>
      </c>
      <c r="N754"/>
    </row>
    <row r="755" spans="12:14" x14ac:dyDescent="0.55000000000000004">
      <c r="L755" s="4">
        <f t="shared" si="14"/>
        <v>0</v>
      </c>
      <c r="N755"/>
    </row>
    <row r="756" spans="12:14" x14ac:dyDescent="0.55000000000000004">
      <c r="L756" s="4">
        <f t="shared" si="14"/>
        <v>0</v>
      </c>
      <c r="N756"/>
    </row>
    <row r="757" spans="12:14" x14ac:dyDescent="0.55000000000000004">
      <c r="L757" s="4">
        <f t="shared" si="14"/>
        <v>0</v>
      </c>
      <c r="N757"/>
    </row>
    <row r="758" spans="12:14" x14ac:dyDescent="0.55000000000000004">
      <c r="L758" s="4">
        <f t="shared" si="14"/>
        <v>0</v>
      </c>
      <c r="N758"/>
    </row>
    <row r="759" spans="12:14" x14ac:dyDescent="0.55000000000000004">
      <c r="L759" s="4">
        <f t="shared" si="14"/>
        <v>0</v>
      </c>
      <c r="N759"/>
    </row>
    <row r="760" spans="12:14" x14ac:dyDescent="0.55000000000000004">
      <c r="L760" s="4">
        <f t="shared" si="14"/>
        <v>0</v>
      </c>
      <c r="N760"/>
    </row>
    <row r="761" spans="12:14" x14ac:dyDescent="0.55000000000000004">
      <c r="L761" s="4">
        <f t="shared" si="14"/>
        <v>0</v>
      </c>
      <c r="N761"/>
    </row>
    <row r="762" spans="12:14" x14ac:dyDescent="0.55000000000000004">
      <c r="L762" s="4">
        <f t="shared" si="14"/>
        <v>0</v>
      </c>
      <c r="N762"/>
    </row>
    <row r="763" spans="12:14" x14ac:dyDescent="0.55000000000000004">
      <c r="L763" s="4">
        <f t="shared" si="14"/>
        <v>0</v>
      </c>
      <c r="N763"/>
    </row>
    <row r="764" spans="12:14" x14ac:dyDescent="0.55000000000000004">
      <c r="L764" s="4">
        <f t="shared" si="14"/>
        <v>0</v>
      </c>
      <c r="N764"/>
    </row>
    <row r="765" spans="12:14" x14ac:dyDescent="0.55000000000000004">
      <c r="L765" s="4">
        <f t="shared" si="14"/>
        <v>0</v>
      </c>
      <c r="N765"/>
    </row>
    <row r="766" spans="12:14" x14ac:dyDescent="0.55000000000000004">
      <c r="L766" s="4">
        <f t="shared" si="14"/>
        <v>0</v>
      </c>
      <c r="N766"/>
    </row>
    <row r="767" spans="12:14" x14ac:dyDescent="0.55000000000000004">
      <c r="L767" s="4">
        <f t="shared" si="14"/>
        <v>0</v>
      </c>
      <c r="N767"/>
    </row>
    <row r="768" spans="12:14" x14ac:dyDescent="0.55000000000000004">
      <c r="L768" s="4">
        <f t="shared" si="14"/>
        <v>0</v>
      </c>
      <c r="N768"/>
    </row>
    <row r="769" spans="12:14" x14ac:dyDescent="0.55000000000000004">
      <c r="L769" s="4">
        <f t="shared" si="14"/>
        <v>0</v>
      </c>
      <c r="N769"/>
    </row>
    <row r="770" spans="12:14" x14ac:dyDescent="0.55000000000000004">
      <c r="L770" s="4">
        <f t="shared" si="14"/>
        <v>0</v>
      </c>
      <c r="N770"/>
    </row>
    <row r="771" spans="12:14" x14ac:dyDescent="0.55000000000000004">
      <c r="L771" s="4">
        <f t="shared" si="14"/>
        <v>0</v>
      </c>
      <c r="N771"/>
    </row>
    <row r="772" spans="12:14" x14ac:dyDescent="0.55000000000000004">
      <c r="L772" s="4">
        <f t="shared" ref="L772:L835" si="15">(A771-A772)</f>
        <v>0</v>
      </c>
      <c r="N772"/>
    </row>
    <row r="773" spans="12:14" x14ac:dyDescent="0.55000000000000004">
      <c r="L773" s="4">
        <f t="shared" si="15"/>
        <v>0</v>
      </c>
      <c r="N773"/>
    </row>
    <row r="774" spans="12:14" x14ac:dyDescent="0.55000000000000004">
      <c r="L774" s="4">
        <f t="shared" si="15"/>
        <v>0</v>
      </c>
      <c r="N774"/>
    </row>
    <row r="775" spans="12:14" x14ac:dyDescent="0.55000000000000004">
      <c r="L775" s="4">
        <f t="shared" si="15"/>
        <v>0</v>
      </c>
      <c r="N775"/>
    </row>
    <row r="776" spans="12:14" x14ac:dyDescent="0.55000000000000004">
      <c r="L776" s="4">
        <f t="shared" si="15"/>
        <v>0</v>
      </c>
      <c r="N776"/>
    </row>
    <row r="777" spans="12:14" x14ac:dyDescent="0.55000000000000004">
      <c r="L777" s="4">
        <f t="shared" si="15"/>
        <v>0</v>
      </c>
      <c r="N777"/>
    </row>
    <row r="778" spans="12:14" x14ac:dyDescent="0.55000000000000004">
      <c r="L778" s="4">
        <f t="shared" si="15"/>
        <v>0</v>
      </c>
      <c r="N778"/>
    </row>
    <row r="779" spans="12:14" x14ac:dyDescent="0.55000000000000004">
      <c r="L779" s="4">
        <f t="shared" si="15"/>
        <v>0</v>
      </c>
      <c r="N779"/>
    </row>
    <row r="780" spans="12:14" x14ac:dyDescent="0.55000000000000004">
      <c r="L780" s="4">
        <f t="shared" si="15"/>
        <v>0</v>
      </c>
      <c r="N780"/>
    </row>
    <row r="781" spans="12:14" x14ac:dyDescent="0.55000000000000004">
      <c r="L781" s="4">
        <f t="shared" si="15"/>
        <v>0</v>
      </c>
      <c r="N781"/>
    </row>
    <row r="782" spans="12:14" x14ac:dyDescent="0.55000000000000004">
      <c r="L782" s="4">
        <f t="shared" si="15"/>
        <v>0</v>
      </c>
      <c r="N782"/>
    </row>
    <row r="783" spans="12:14" x14ac:dyDescent="0.55000000000000004">
      <c r="L783" s="4">
        <f t="shared" si="15"/>
        <v>0</v>
      </c>
      <c r="N783"/>
    </row>
    <row r="784" spans="12:14" x14ac:dyDescent="0.55000000000000004">
      <c r="L784" s="4">
        <f t="shared" si="15"/>
        <v>0</v>
      </c>
      <c r="N784"/>
    </row>
    <row r="785" spans="12:14" x14ac:dyDescent="0.55000000000000004">
      <c r="L785" s="4">
        <f t="shared" si="15"/>
        <v>0</v>
      </c>
      <c r="N785"/>
    </row>
    <row r="786" spans="12:14" x14ac:dyDescent="0.55000000000000004">
      <c r="L786" s="4">
        <f t="shared" si="15"/>
        <v>0</v>
      </c>
      <c r="N786"/>
    </row>
    <row r="787" spans="12:14" x14ac:dyDescent="0.55000000000000004">
      <c r="L787" s="4">
        <f t="shared" si="15"/>
        <v>0</v>
      </c>
      <c r="N787"/>
    </row>
    <row r="788" spans="12:14" x14ac:dyDescent="0.55000000000000004">
      <c r="L788" s="4">
        <f t="shared" si="15"/>
        <v>0</v>
      </c>
      <c r="N788"/>
    </row>
    <row r="789" spans="12:14" x14ac:dyDescent="0.55000000000000004">
      <c r="L789" s="4">
        <f t="shared" si="15"/>
        <v>0</v>
      </c>
      <c r="N789"/>
    </row>
    <row r="790" spans="12:14" x14ac:dyDescent="0.55000000000000004">
      <c r="L790" s="4">
        <f t="shared" si="15"/>
        <v>0</v>
      </c>
      <c r="N790"/>
    </row>
    <row r="791" spans="12:14" x14ac:dyDescent="0.55000000000000004">
      <c r="L791" s="4">
        <f t="shared" si="15"/>
        <v>0</v>
      </c>
      <c r="N791"/>
    </row>
    <row r="792" spans="12:14" x14ac:dyDescent="0.55000000000000004">
      <c r="L792" s="4">
        <f t="shared" si="15"/>
        <v>0</v>
      </c>
      <c r="N792"/>
    </row>
    <row r="793" spans="12:14" x14ac:dyDescent="0.55000000000000004">
      <c r="L793" s="4">
        <f t="shared" si="15"/>
        <v>0</v>
      </c>
      <c r="N793"/>
    </row>
    <row r="794" spans="12:14" x14ac:dyDescent="0.55000000000000004">
      <c r="L794" s="4">
        <f t="shared" si="15"/>
        <v>0</v>
      </c>
      <c r="N794"/>
    </row>
    <row r="795" spans="12:14" x14ac:dyDescent="0.55000000000000004">
      <c r="L795" s="4">
        <f t="shared" si="15"/>
        <v>0</v>
      </c>
      <c r="N795"/>
    </row>
    <row r="796" spans="12:14" x14ac:dyDescent="0.55000000000000004">
      <c r="L796" s="4">
        <f t="shared" si="15"/>
        <v>0</v>
      </c>
      <c r="N796"/>
    </row>
    <row r="797" spans="12:14" x14ac:dyDescent="0.55000000000000004">
      <c r="L797" s="4">
        <f t="shared" si="15"/>
        <v>0</v>
      </c>
      <c r="N797"/>
    </row>
    <row r="798" spans="12:14" x14ac:dyDescent="0.55000000000000004">
      <c r="L798" s="4">
        <f t="shared" si="15"/>
        <v>0</v>
      </c>
      <c r="N798"/>
    </row>
    <row r="799" spans="12:14" x14ac:dyDescent="0.55000000000000004">
      <c r="L799" s="4">
        <f t="shared" si="15"/>
        <v>0</v>
      </c>
      <c r="N799"/>
    </row>
    <row r="800" spans="12:14" x14ac:dyDescent="0.55000000000000004">
      <c r="L800" s="4">
        <f t="shared" si="15"/>
        <v>0</v>
      </c>
      <c r="N800"/>
    </row>
    <row r="801" spans="12:14" x14ac:dyDescent="0.55000000000000004">
      <c r="L801" s="4">
        <f t="shared" si="15"/>
        <v>0</v>
      </c>
      <c r="N801"/>
    </row>
    <row r="802" spans="12:14" x14ac:dyDescent="0.55000000000000004">
      <c r="L802" s="4">
        <f t="shared" si="15"/>
        <v>0</v>
      </c>
      <c r="N802"/>
    </row>
    <row r="803" spans="12:14" x14ac:dyDescent="0.55000000000000004">
      <c r="L803" s="4">
        <f t="shared" si="15"/>
        <v>0</v>
      </c>
      <c r="N803"/>
    </row>
    <row r="804" spans="12:14" x14ac:dyDescent="0.55000000000000004">
      <c r="L804" s="4">
        <f t="shared" si="15"/>
        <v>0</v>
      </c>
      <c r="N804"/>
    </row>
    <row r="805" spans="12:14" x14ac:dyDescent="0.55000000000000004">
      <c r="L805" s="4">
        <f t="shared" si="15"/>
        <v>0</v>
      </c>
      <c r="N805"/>
    </row>
    <row r="806" spans="12:14" x14ac:dyDescent="0.55000000000000004">
      <c r="L806" s="4">
        <f t="shared" si="15"/>
        <v>0</v>
      </c>
      <c r="N806"/>
    </row>
    <row r="807" spans="12:14" x14ac:dyDescent="0.55000000000000004">
      <c r="L807" s="4">
        <f t="shared" si="15"/>
        <v>0</v>
      </c>
      <c r="N807"/>
    </row>
    <row r="808" spans="12:14" x14ac:dyDescent="0.55000000000000004">
      <c r="L808" s="4">
        <f t="shared" si="15"/>
        <v>0</v>
      </c>
      <c r="N808"/>
    </row>
    <row r="809" spans="12:14" x14ac:dyDescent="0.55000000000000004">
      <c r="L809" s="4">
        <f t="shared" si="15"/>
        <v>0</v>
      </c>
      <c r="N809"/>
    </row>
    <row r="810" spans="12:14" x14ac:dyDescent="0.55000000000000004">
      <c r="L810" s="4">
        <f t="shared" si="15"/>
        <v>0</v>
      </c>
      <c r="N810"/>
    </row>
    <row r="811" spans="12:14" x14ac:dyDescent="0.55000000000000004">
      <c r="L811" s="4">
        <f t="shared" si="15"/>
        <v>0</v>
      </c>
      <c r="N811"/>
    </row>
    <row r="812" spans="12:14" x14ac:dyDescent="0.55000000000000004">
      <c r="L812" s="4">
        <f t="shared" si="15"/>
        <v>0</v>
      </c>
      <c r="N812"/>
    </row>
    <row r="813" spans="12:14" x14ac:dyDescent="0.55000000000000004">
      <c r="L813" s="4">
        <f t="shared" si="15"/>
        <v>0</v>
      </c>
      <c r="N813"/>
    </row>
    <row r="814" spans="12:14" x14ac:dyDescent="0.55000000000000004">
      <c r="L814" s="4">
        <f t="shared" si="15"/>
        <v>0</v>
      </c>
      <c r="N814"/>
    </row>
    <row r="815" spans="12:14" x14ac:dyDescent="0.55000000000000004">
      <c r="L815" s="4">
        <f t="shared" si="15"/>
        <v>0</v>
      </c>
      <c r="N815"/>
    </row>
    <row r="816" spans="12:14" x14ac:dyDescent="0.55000000000000004">
      <c r="L816" s="4">
        <f t="shared" si="15"/>
        <v>0</v>
      </c>
      <c r="N816"/>
    </row>
    <row r="817" spans="12:14" x14ac:dyDescent="0.55000000000000004">
      <c r="L817" s="4">
        <f t="shared" si="15"/>
        <v>0</v>
      </c>
      <c r="N817"/>
    </row>
    <row r="818" spans="12:14" x14ac:dyDescent="0.55000000000000004">
      <c r="L818" s="4">
        <f t="shared" si="15"/>
        <v>0</v>
      </c>
      <c r="N818"/>
    </row>
    <row r="819" spans="12:14" x14ac:dyDescent="0.55000000000000004">
      <c r="L819" s="4">
        <f t="shared" si="15"/>
        <v>0</v>
      </c>
      <c r="N819"/>
    </row>
    <row r="820" spans="12:14" x14ac:dyDescent="0.55000000000000004">
      <c r="L820" s="4">
        <f t="shared" si="15"/>
        <v>0</v>
      </c>
      <c r="N820"/>
    </row>
    <row r="821" spans="12:14" x14ac:dyDescent="0.55000000000000004">
      <c r="L821" s="4">
        <f t="shared" si="15"/>
        <v>0</v>
      </c>
      <c r="N821"/>
    </row>
    <row r="822" spans="12:14" x14ac:dyDescent="0.55000000000000004">
      <c r="L822" s="4">
        <f t="shared" si="15"/>
        <v>0</v>
      </c>
      <c r="N822"/>
    </row>
    <row r="823" spans="12:14" x14ac:dyDescent="0.55000000000000004">
      <c r="L823" s="4">
        <f t="shared" si="15"/>
        <v>0</v>
      </c>
      <c r="N823"/>
    </row>
    <row r="824" spans="12:14" x14ac:dyDescent="0.55000000000000004">
      <c r="L824" s="4">
        <f t="shared" si="15"/>
        <v>0</v>
      </c>
      <c r="N824"/>
    </row>
    <row r="825" spans="12:14" x14ac:dyDescent="0.55000000000000004">
      <c r="L825" s="4">
        <f t="shared" si="15"/>
        <v>0</v>
      </c>
      <c r="N825"/>
    </row>
    <row r="826" spans="12:14" x14ac:dyDescent="0.55000000000000004">
      <c r="L826" s="4">
        <f t="shared" si="15"/>
        <v>0</v>
      </c>
      <c r="N826"/>
    </row>
    <row r="827" spans="12:14" x14ac:dyDescent="0.55000000000000004">
      <c r="L827" s="4">
        <f t="shared" si="15"/>
        <v>0</v>
      </c>
      <c r="N827"/>
    </row>
    <row r="828" spans="12:14" x14ac:dyDescent="0.55000000000000004">
      <c r="L828" s="4">
        <f t="shared" si="15"/>
        <v>0</v>
      </c>
      <c r="N828"/>
    </row>
    <row r="829" spans="12:14" x14ac:dyDescent="0.55000000000000004">
      <c r="L829" s="4">
        <f t="shared" si="15"/>
        <v>0</v>
      </c>
      <c r="N829"/>
    </row>
    <row r="830" spans="12:14" x14ac:dyDescent="0.55000000000000004">
      <c r="L830" s="4">
        <f t="shared" si="15"/>
        <v>0</v>
      </c>
      <c r="N830"/>
    </row>
    <row r="831" spans="12:14" x14ac:dyDescent="0.55000000000000004">
      <c r="L831" s="4">
        <f t="shared" si="15"/>
        <v>0</v>
      </c>
      <c r="N831"/>
    </row>
    <row r="832" spans="12:14" x14ac:dyDescent="0.55000000000000004">
      <c r="L832" s="4">
        <f t="shared" si="15"/>
        <v>0</v>
      </c>
      <c r="N832"/>
    </row>
    <row r="833" spans="12:14" x14ac:dyDescent="0.55000000000000004">
      <c r="L833" s="4">
        <f t="shared" si="15"/>
        <v>0</v>
      </c>
      <c r="N833"/>
    </row>
    <row r="834" spans="12:14" x14ac:dyDescent="0.55000000000000004">
      <c r="L834" s="4">
        <f t="shared" si="15"/>
        <v>0</v>
      </c>
      <c r="N834"/>
    </row>
    <row r="835" spans="12:14" x14ac:dyDescent="0.55000000000000004">
      <c r="L835" s="4">
        <f t="shared" si="15"/>
        <v>0</v>
      </c>
      <c r="N835"/>
    </row>
    <row r="836" spans="12:14" x14ac:dyDescent="0.55000000000000004">
      <c r="L836" s="4">
        <f t="shared" ref="L836:L899" si="16">(A835-A836)</f>
        <v>0</v>
      </c>
      <c r="N836"/>
    </row>
    <row r="837" spans="12:14" x14ac:dyDescent="0.55000000000000004">
      <c r="L837" s="4">
        <f t="shared" si="16"/>
        <v>0</v>
      </c>
      <c r="N837"/>
    </row>
    <row r="838" spans="12:14" x14ac:dyDescent="0.55000000000000004">
      <c r="L838" s="4">
        <f t="shared" si="16"/>
        <v>0</v>
      </c>
      <c r="N838"/>
    </row>
    <row r="839" spans="12:14" x14ac:dyDescent="0.55000000000000004">
      <c r="L839" s="4">
        <f t="shared" si="16"/>
        <v>0</v>
      </c>
      <c r="N839"/>
    </row>
    <row r="840" spans="12:14" x14ac:dyDescent="0.55000000000000004">
      <c r="L840" s="4">
        <f t="shared" si="16"/>
        <v>0</v>
      </c>
      <c r="N840"/>
    </row>
    <row r="841" spans="12:14" x14ac:dyDescent="0.55000000000000004">
      <c r="L841" s="4">
        <f t="shared" si="16"/>
        <v>0</v>
      </c>
      <c r="N841"/>
    </row>
    <row r="842" spans="12:14" x14ac:dyDescent="0.55000000000000004">
      <c r="L842" s="4">
        <f t="shared" si="16"/>
        <v>0</v>
      </c>
      <c r="N842"/>
    </row>
    <row r="843" spans="12:14" x14ac:dyDescent="0.55000000000000004">
      <c r="L843" s="4">
        <f t="shared" si="16"/>
        <v>0</v>
      </c>
      <c r="N843"/>
    </row>
    <row r="844" spans="12:14" x14ac:dyDescent="0.55000000000000004">
      <c r="L844" s="4">
        <f t="shared" si="16"/>
        <v>0</v>
      </c>
      <c r="N844"/>
    </row>
    <row r="845" spans="12:14" x14ac:dyDescent="0.55000000000000004">
      <c r="L845" s="4">
        <f t="shared" si="16"/>
        <v>0</v>
      </c>
      <c r="N845"/>
    </row>
    <row r="846" spans="12:14" x14ac:dyDescent="0.55000000000000004">
      <c r="L846" s="4">
        <f t="shared" si="16"/>
        <v>0</v>
      </c>
      <c r="N846"/>
    </row>
    <row r="847" spans="12:14" x14ac:dyDescent="0.55000000000000004">
      <c r="L847" s="4">
        <f t="shared" si="16"/>
        <v>0</v>
      </c>
      <c r="N847"/>
    </row>
    <row r="848" spans="12:14" x14ac:dyDescent="0.55000000000000004">
      <c r="L848" s="4">
        <f t="shared" si="16"/>
        <v>0</v>
      </c>
      <c r="N848"/>
    </row>
    <row r="849" spans="12:14" x14ac:dyDescent="0.55000000000000004">
      <c r="L849" s="4">
        <f t="shared" si="16"/>
        <v>0</v>
      </c>
      <c r="N849"/>
    </row>
    <row r="850" spans="12:14" x14ac:dyDescent="0.55000000000000004">
      <c r="L850" s="4">
        <f t="shared" si="16"/>
        <v>0</v>
      </c>
      <c r="N850"/>
    </row>
    <row r="851" spans="12:14" x14ac:dyDescent="0.55000000000000004">
      <c r="L851" s="4">
        <f t="shared" si="16"/>
        <v>0</v>
      </c>
      <c r="N851"/>
    </row>
    <row r="852" spans="12:14" x14ac:dyDescent="0.55000000000000004">
      <c r="L852" s="4">
        <f t="shared" si="16"/>
        <v>0</v>
      </c>
      <c r="N852"/>
    </row>
    <row r="853" spans="12:14" x14ac:dyDescent="0.55000000000000004">
      <c r="L853" s="4">
        <f t="shared" si="16"/>
        <v>0</v>
      </c>
      <c r="N853"/>
    </row>
    <row r="854" spans="12:14" x14ac:dyDescent="0.55000000000000004">
      <c r="L854" s="4">
        <f t="shared" si="16"/>
        <v>0</v>
      </c>
      <c r="N854"/>
    </row>
    <row r="855" spans="12:14" x14ac:dyDescent="0.55000000000000004">
      <c r="L855" s="4">
        <f t="shared" si="16"/>
        <v>0</v>
      </c>
      <c r="N855"/>
    </row>
    <row r="856" spans="12:14" x14ac:dyDescent="0.55000000000000004">
      <c r="L856" s="4">
        <f t="shared" si="16"/>
        <v>0</v>
      </c>
      <c r="N856"/>
    </row>
    <row r="857" spans="12:14" x14ac:dyDescent="0.55000000000000004">
      <c r="L857" s="4">
        <f t="shared" si="16"/>
        <v>0</v>
      </c>
      <c r="N857"/>
    </row>
    <row r="858" spans="12:14" x14ac:dyDescent="0.55000000000000004">
      <c r="L858" s="4">
        <f t="shared" si="16"/>
        <v>0</v>
      </c>
      <c r="N858"/>
    </row>
    <row r="859" spans="12:14" x14ac:dyDescent="0.55000000000000004">
      <c r="L859" s="4">
        <f t="shared" si="16"/>
        <v>0</v>
      </c>
      <c r="N859"/>
    </row>
    <row r="860" spans="12:14" x14ac:dyDescent="0.55000000000000004">
      <c r="L860" s="4">
        <f t="shared" si="16"/>
        <v>0</v>
      </c>
      <c r="N860"/>
    </row>
    <row r="861" spans="12:14" x14ac:dyDescent="0.55000000000000004">
      <c r="L861" s="4">
        <f t="shared" si="16"/>
        <v>0</v>
      </c>
      <c r="N861"/>
    </row>
    <row r="862" spans="12:14" x14ac:dyDescent="0.55000000000000004">
      <c r="L862" s="4">
        <f t="shared" si="16"/>
        <v>0</v>
      </c>
      <c r="N862"/>
    </row>
    <row r="863" spans="12:14" x14ac:dyDescent="0.55000000000000004">
      <c r="L863" s="4">
        <f t="shared" si="16"/>
        <v>0</v>
      </c>
      <c r="N863"/>
    </row>
    <row r="864" spans="12:14" x14ac:dyDescent="0.55000000000000004">
      <c r="L864" s="4">
        <f t="shared" si="16"/>
        <v>0</v>
      </c>
      <c r="N864"/>
    </row>
    <row r="865" spans="12:14" x14ac:dyDescent="0.55000000000000004">
      <c r="L865" s="4">
        <f t="shared" si="16"/>
        <v>0</v>
      </c>
      <c r="N865"/>
    </row>
    <row r="866" spans="12:14" x14ac:dyDescent="0.55000000000000004">
      <c r="L866" s="4">
        <f t="shared" si="16"/>
        <v>0</v>
      </c>
      <c r="N866"/>
    </row>
    <row r="867" spans="12:14" x14ac:dyDescent="0.55000000000000004">
      <c r="L867" s="4">
        <f t="shared" si="16"/>
        <v>0</v>
      </c>
      <c r="N867"/>
    </row>
    <row r="868" spans="12:14" x14ac:dyDescent="0.55000000000000004">
      <c r="L868" s="4">
        <f t="shared" si="16"/>
        <v>0</v>
      </c>
      <c r="N868"/>
    </row>
    <row r="869" spans="12:14" x14ac:dyDescent="0.55000000000000004">
      <c r="L869" s="4">
        <f t="shared" si="16"/>
        <v>0</v>
      </c>
      <c r="N869"/>
    </row>
    <row r="870" spans="12:14" x14ac:dyDescent="0.55000000000000004">
      <c r="L870" s="4">
        <f t="shared" si="16"/>
        <v>0</v>
      </c>
      <c r="N870"/>
    </row>
    <row r="871" spans="12:14" x14ac:dyDescent="0.55000000000000004">
      <c r="L871" s="4">
        <f t="shared" si="16"/>
        <v>0</v>
      </c>
      <c r="N871"/>
    </row>
    <row r="872" spans="12:14" x14ac:dyDescent="0.55000000000000004">
      <c r="L872" s="4">
        <f t="shared" si="16"/>
        <v>0</v>
      </c>
      <c r="N872"/>
    </row>
    <row r="873" spans="12:14" x14ac:dyDescent="0.55000000000000004">
      <c r="L873" s="4">
        <f t="shared" si="16"/>
        <v>0</v>
      </c>
      <c r="N873"/>
    </row>
    <row r="874" spans="12:14" x14ac:dyDescent="0.55000000000000004">
      <c r="L874" s="4">
        <f t="shared" si="16"/>
        <v>0</v>
      </c>
      <c r="N874"/>
    </row>
    <row r="875" spans="12:14" x14ac:dyDescent="0.55000000000000004">
      <c r="L875" s="4">
        <f t="shared" si="16"/>
        <v>0</v>
      </c>
      <c r="N875"/>
    </row>
    <row r="876" spans="12:14" x14ac:dyDescent="0.55000000000000004">
      <c r="L876" s="4">
        <f t="shared" si="16"/>
        <v>0</v>
      </c>
      <c r="N876"/>
    </row>
    <row r="877" spans="12:14" x14ac:dyDescent="0.55000000000000004">
      <c r="L877" s="4">
        <f t="shared" si="16"/>
        <v>0</v>
      </c>
      <c r="N877"/>
    </row>
    <row r="878" spans="12:14" x14ac:dyDescent="0.55000000000000004">
      <c r="L878" s="4">
        <f t="shared" si="16"/>
        <v>0</v>
      </c>
      <c r="N878"/>
    </row>
    <row r="879" spans="12:14" x14ac:dyDescent="0.55000000000000004">
      <c r="L879" s="4">
        <f t="shared" si="16"/>
        <v>0</v>
      </c>
      <c r="N879"/>
    </row>
    <row r="880" spans="12:14" x14ac:dyDescent="0.55000000000000004">
      <c r="L880" s="4">
        <f t="shared" si="16"/>
        <v>0</v>
      </c>
      <c r="N880"/>
    </row>
    <row r="881" spans="12:14" x14ac:dyDescent="0.55000000000000004">
      <c r="L881" s="4">
        <f t="shared" si="16"/>
        <v>0</v>
      </c>
      <c r="N881"/>
    </row>
    <row r="882" spans="12:14" x14ac:dyDescent="0.55000000000000004">
      <c r="L882" s="4">
        <f t="shared" si="16"/>
        <v>0</v>
      </c>
      <c r="N882"/>
    </row>
    <row r="883" spans="12:14" x14ac:dyDescent="0.55000000000000004">
      <c r="L883" s="4">
        <f t="shared" si="16"/>
        <v>0</v>
      </c>
      <c r="N883"/>
    </row>
    <row r="884" spans="12:14" x14ac:dyDescent="0.55000000000000004">
      <c r="L884" s="4">
        <f t="shared" si="16"/>
        <v>0</v>
      </c>
      <c r="N884"/>
    </row>
    <row r="885" spans="12:14" x14ac:dyDescent="0.55000000000000004">
      <c r="L885" s="4">
        <f t="shared" si="16"/>
        <v>0</v>
      </c>
      <c r="N885"/>
    </row>
    <row r="886" spans="12:14" x14ac:dyDescent="0.55000000000000004">
      <c r="L886" s="4">
        <f t="shared" si="16"/>
        <v>0</v>
      </c>
      <c r="N886"/>
    </row>
    <row r="887" spans="12:14" x14ac:dyDescent="0.55000000000000004">
      <c r="L887" s="4">
        <f t="shared" si="16"/>
        <v>0</v>
      </c>
      <c r="N887"/>
    </row>
    <row r="888" spans="12:14" x14ac:dyDescent="0.55000000000000004">
      <c r="L888" s="4">
        <f t="shared" si="16"/>
        <v>0</v>
      </c>
      <c r="N888"/>
    </row>
    <row r="889" spans="12:14" x14ac:dyDescent="0.55000000000000004">
      <c r="L889" s="4">
        <f t="shared" si="16"/>
        <v>0</v>
      </c>
      <c r="N889"/>
    </row>
    <row r="890" spans="12:14" x14ac:dyDescent="0.55000000000000004">
      <c r="L890" s="4">
        <f t="shared" si="16"/>
        <v>0</v>
      </c>
      <c r="N890"/>
    </row>
    <row r="891" spans="12:14" x14ac:dyDescent="0.55000000000000004">
      <c r="L891" s="4">
        <f t="shared" si="16"/>
        <v>0</v>
      </c>
      <c r="N891"/>
    </row>
    <row r="892" spans="12:14" x14ac:dyDescent="0.55000000000000004">
      <c r="L892" s="4">
        <f t="shared" si="16"/>
        <v>0</v>
      </c>
      <c r="N892"/>
    </row>
    <row r="893" spans="12:14" x14ac:dyDescent="0.55000000000000004">
      <c r="L893" s="4">
        <f t="shared" si="16"/>
        <v>0</v>
      </c>
      <c r="N893"/>
    </row>
    <row r="894" spans="12:14" x14ac:dyDescent="0.55000000000000004">
      <c r="L894" s="4">
        <f t="shared" si="16"/>
        <v>0</v>
      </c>
      <c r="N894"/>
    </row>
    <row r="895" spans="12:14" x14ac:dyDescent="0.55000000000000004">
      <c r="L895" s="4">
        <f t="shared" si="16"/>
        <v>0</v>
      </c>
      <c r="N895"/>
    </row>
    <row r="896" spans="12:14" x14ac:dyDescent="0.55000000000000004">
      <c r="L896" s="4">
        <f t="shared" si="16"/>
        <v>0</v>
      </c>
      <c r="N896"/>
    </row>
    <row r="897" spans="12:14" x14ac:dyDescent="0.55000000000000004">
      <c r="L897" s="4">
        <f t="shared" si="16"/>
        <v>0</v>
      </c>
      <c r="N897"/>
    </row>
    <row r="898" spans="12:14" x14ac:dyDescent="0.55000000000000004">
      <c r="L898" s="4">
        <f t="shared" si="16"/>
        <v>0</v>
      </c>
      <c r="N898"/>
    </row>
    <row r="899" spans="12:14" x14ac:dyDescent="0.55000000000000004">
      <c r="L899" s="4">
        <f t="shared" si="16"/>
        <v>0</v>
      </c>
      <c r="N899"/>
    </row>
    <row r="900" spans="12:14" x14ac:dyDescent="0.55000000000000004">
      <c r="L900" s="4">
        <f t="shared" ref="L900:L963" si="17">(A899-A900)</f>
        <v>0</v>
      </c>
      <c r="N900"/>
    </row>
    <row r="901" spans="12:14" x14ac:dyDescent="0.55000000000000004">
      <c r="L901" s="4">
        <f t="shared" si="17"/>
        <v>0</v>
      </c>
      <c r="N901"/>
    </row>
    <row r="902" spans="12:14" x14ac:dyDescent="0.55000000000000004">
      <c r="L902" s="4">
        <f t="shared" si="17"/>
        <v>0</v>
      </c>
      <c r="N902"/>
    </row>
    <row r="903" spans="12:14" x14ac:dyDescent="0.55000000000000004">
      <c r="L903" s="4">
        <f t="shared" si="17"/>
        <v>0</v>
      </c>
      <c r="N903"/>
    </row>
    <row r="904" spans="12:14" x14ac:dyDescent="0.55000000000000004">
      <c r="L904" s="4">
        <f t="shared" si="17"/>
        <v>0</v>
      </c>
      <c r="N904"/>
    </row>
    <row r="905" spans="12:14" x14ac:dyDescent="0.55000000000000004">
      <c r="L905" s="4">
        <f t="shared" si="17"/>
        <v>0</v>
      </c>
      <c r="N905"/>
    </row>
    <row r="906" spans="12:14" x14ac:dyDescent="0.55000000000000004">
      <c r="L906" s="4">
        <f t="shared" si="17"/>
        <v>0</v>
      </c>
      <c r="N906"/>
    </row>
    <row r="907" spans="12:14" x14ac:dyDescent="0.55000000000000004">
      <c r="L907" s="4">
        <f t="shared" si="17"/>
        <v>0</v>
      </c>
      <c r="N907"/>
    </row>
    <row r="908" spans="12:14" x14ac:dyDescent="0.55000000000000004">
      <c r="L908" s="4">
        <f t="shared" si="17"/>
        <v>0</v>
      </c>
      <c r="N908"/>
    </row>
    <row r="909" spans="12:14" x14ac:dyDescent="0.55000000000000004">
      <c r="L909" s="4">
        <f t="shared" si="17"/>
        <v>0</v>
      </c>
      <c r="N909"/>
    </row>
    <row r="910" spans="12:14" x14ac:dyDescent="0.55000000000000004">
      <c r="L910" s="4">
        <f t="shared" si="17"/>
        <v>0</v>
      </c>
      <c r="N910"/>
    </row>
    <row r="911" spans="12:14" x14ac:dyDescent="0.55000000000000004">
      <c r="L911" s="4">
        <f t="shared" si="17"/>
        <v>0</v>
      </c>
      <c r="N911"/>
    </row>
    <row r="912" spans="12:14" x14ac:dyDescent="0.55000000000000004">
      <c r="L912" s="4">
        <f t="shared" si="17"/>
        <v>0</v>
      </c>
      <c r="N912"/>
    </row>
    <row r="913" spans="12:14" x14ac:dyDescent="0.55000000000000004">
      <c r="L913" s="4">
        <f t="shared" si="17"/>
        <v>0</v>
      </c>
      <c r="N913"/>
    </row>
    <row r="914" spans="12:14" x14ac:dyDescent="0.55000000000000004">
      <c r="L914" s="4">
        <f t="shared" si="17"/>
        <v>0</v>
      </c>
      <c r="N914"/>
    </row>
    <row r="915" spans="12:14" x14ac:dyDescent="0.55000000000000004">
      <c r="L915" s="4">
        <f t="shared" si="17"/>
        <v>0</v>
      </c>
      <c r="N915"/>
    </row>
    <row r="916" spans="12:14" x14ac:dyDescent="0.55000000000000004">
      <c r="L916" s="4">
        <f t="shared" si="17"/>
        <v>0</v>
      </c>
      <c r="N916"/>
    </row>
    <row r="917" spans="12:14" x14ac:dyDescent="0.55000000000000004">
      <c r="L917" s="4">
        <f t="shared" si="17"/>
        <v>0</v>
      </c>
      <c r="N917"/>
    </row>
    <row r="918" spans="12:14" x14ac:dyDescent="0.55000000000000004">
      <c r="L918" s="4">
        <f t="shared" si="17"/>
        <v>0</v>
      </c>
      <c r="N918"/>
    </row>
    <row r="919" spans="12:14" x14ac:dyDescent="0.55000000000000004">
      <c r="L919" s="4">
        <f t="shared" si="17"/>
        <v>0</v>
      </c>
      <c r="N919"/>
    </row>
    <row r="920" spans="12:14" x14ac:dyDescent="0.55000000000000004">
      <c r="L920" s="4">
        <f t="shared" si="17"/>
        <v>0</v>
      </c>
      <c r="N920"/>
    </row>
    <row r="921" spans="12:14" x14ac:dyDescent="0.55000000000000004">
      <c r="L921" s="4">
        <f t="shared" si="17"/>
        <v>0</v>
      </c>
      <c r="N921"/>
    </row>
    <row r="922" spans="12:14" x14ac:dyDescent="0.55000000000000004">
      <c r="L922" s="4">
        <f t="shared" si="17"/>
        <v>0</v>
      </c>
      <c r="N922"/>
    </row>
    <row r="923" spans="12:14" x14ac:dyDescent="0.55000000000000004">
      <c r="L923" s="4">
        <f t="shared" si="17"/>
        <v>0</v>
      </c>
      <c r="N923"/>
    </row>
    <row r="924" spans="12:14" x14ac:dyDescent="0.55000000000000004">
      <c r="L924" s="4">
        <f t="shared" si="17"/>
        <v>0</v>
      </c>
      <c r="N924"/>
    </row>
    <row r="925" spans="12:14" x14ac:dyDescent="0.55000000000000004">
      <c r="L925" s="4">
        <f t="shared" si="17"/>
        <v>0</v>
      </c>
      <c r="N925"/>
    </row>
    <row r="926" spans="12:14" x14ac:dyDescent="0.55000000000000004">
      <c r="L926" s="4">
        <f t="shared" si="17"/>
        <v>0</v>
      </c>
      <c r="N926"/>
    </row>
    <row r="927" spans="12:14" x14ac:dyDescent="0.55000000000000004">
      <c r="L927" s="4">
        <f t="shared" si="17"/>
        <v>0</v>
      </c>
      <c r="N927"/>
    </row>
    <row r="928" spans="12:14" x14ac:dyDescent="0.55000000000000004">
      <c r="L928" s="4">
        <f t="shared" si="17"/>
        <v>0</v>
      </c>
      <c r="N928"/>
    </row>
    <row r="929" spans="12:14" x14ac:dyDescent="0.55000000000000004">
      <c r="L929" s="4">
        <f t="shared" si="17"/>
        <v>0</v>
      </c>
      <c r="N929"/>
    </row>
    <row r="930" spans="12:14" x14ac:dyDescent="0.55000000000000004">
      <c r="L930" s="4">
        <f t="shared" si="17"/>
        <v>0</v>
      </c>
      <c r="N930"/>
    </row>
    <row r="931" spans="12:14" x14ac:dyDescent="0.55000000000000004">
      <c r="L931" s="4">
        <f t="shared" si="17"/>
        <v>0</v>
      </c>
      <c r="N931"/>
    </row>
    <row r="932" spans="12:14" x14ac:dyDescent="0.55000000000000004">
      <c r="L932" s="4">
        <f t="shared" si="17"/>
        <v>0</v>
      </c>
      <c r="N932"/>
    </row>
    <row r="933" spans="12:14" x14ac:dyDescent="0.55000000000000004">
      <c r="L933" s="4">
        <f t="shared" si="17"/>
        <v>0</v>
      </c>
      <c r="N933"/>
    </row>
    <row r="934" spans="12:14" x14ac:dyDescent="0.55000000000000004">
      <c r="L934" s="4">
        <f t="shared" si="17"/>
        <v>0</v>
      </c>
      <c r="N934"/>
    </row>
    <row r="935" spans="12:14" x14ac:dyDescent="0.55000000000000004">
      <c r="L935" s="4">
        <f t="shared" si="17"/>
        <v>0</v>
      </c>
      <c r="N935"/>
    </row>
    <row r="936" spans="12:14" x14ac:dyDescent="0.55000000000000004">
      <c r="L936" s="4">
        <f t="shared" si="17"/>
        <v>0</v>
      </c>
      <c r="N936"/>
    </row>
    <row r="937" spans="12:14" x14ac:dyDescent="0.55000000000000004">
      <c r="L937" s="4">
        <f t="shared" si="17"/>
        <v>0</v>
      </c>
      <c r="N937"/>
    </row>
    <row r="938" spans="12:14" x14ac:dyDescent="0.55000000000000004">
      <c r="L938" s="4">
        <f t="shared" si="17"/>
        <v>0</v>
      </c>
      <c r="N938"/>
    </row>
    <row r="939" spans="12:14" x14ac:dyDescent="0.55000000000000004">
      <c r="L939" s="4">
        <f t="shared" si="17"/>
        <v>0</v>
      </c>
      <c r="N939"/>
    </row>
    <row r="940" spans="12:14" x14ac:dyDescent="0.55000000000000004">
      <c r="L940" s="4">
        <f t="shared" si="17"/>
        <v>0</v>
      </c>
      <c r="N940"/>
    </row>
    <row r="941" spans="12:14" x14ac:dyDescent="0.55000000000000004">
      <c r="L941" s="4">
        <f t="shared" si="17"/>
        <v>0</v>
      </c>
      <c r="N941"/>
    </row>
    <row r="942" spans="12:14" x14ac:dyDescent="0.55000000000000004">
      <c r="L942" s="4">
        <f t="shared" si="17"/>
        <v>0</v>
      </c>
      <c r="N942"/>
    </row>
    <row r="943" spans="12:14" x14ac:dyDescent="0.55000000000000004">
      <c r="L943" s="4">
        <f t="shared" si="17"/>
        <v>0</v>
      </c>
      <c r="N943"/>
    </row>
    <row r="944" spans="12:14" x14ac:dyDescent="0.55000000000000004">
      <c r="L944" s="4">
        <f t="shared" si="17"/>
        <v>0</v>
      </c>
      <c r="N944"/>
    </row>
    <row r="945" spans="12:14" x14ac:dyDescent="0.55000000000000004">
      <c r="L945" s="4">
        <f t="shared" si="17"/>
        <v>0</v>
      </c>
      <c r="N945"/>
    </row>
    <row r="946" spans="12:14" x14ac:dyDescent="0.55000000000000004">
      <c r="L946" s="4">
        <f t="shared" si="17"/>
        <v>0</v>
      </c>
      <c r="N946"/>
    </row>
    <row r="947" spans="12:14" x14ac:dyDescent="0.55000000000000004">
      <c r="L947" s="4">
        <f t="shared" si="17"/>
        <v>0</v>
      </c>
      <c r="N947"/>
    </row>
    <row r="948" spans="12:14" x14ac:dyDescent="0.55000000000000004">
      <c r="L948" s="4">
        <f t="shared" si="17"/>
        <v>0</v>
      </c>
      <c r="N948"/>
    </row>
    <row r="949" spans="12:14" x14ac:dyDescent="0.55000000000000004">
      <c r="L949" s="4">
        <f t="shared" si="17"/>
        <v>0</v>
      </c>
      <c r="N949"/>
    </row>
    <row r="950" spans="12:14" x14ac:dyDescent="0.55000000000000004">
      <c r="L950" s="4">
        <f t="shared" si="17"/>
        <v>0</v>
      </c>
      <c r="N950"/>
    </row>
    <row r="951" spans="12:14" x14ac:dyDescent="0.55000000000000004">
      <c r="L951" s="4">
        <f t="shared" si="17"/>
        <v>0</v>
      </c>
      <c r="N951"/>
    </row>
    <row r="952" spans="12:14" x14ac:dyDescent="0.55000000000000004">
      <c r="L952" s="4">
        <f t="shared" si="17"/>
        <v>0</v>
      </c>
      <c r="N952"/>
    </row>
    <row r="953" spans="12:14" x14ac:dyDescent="0.55000000000000004">
      <c r="L953" s="4">
        <f t="shared" si="17"/>
        <v>0</v>
      </c>
      <c r="N953"/>
    </row>
    <row r="954" spans="12:14" x14ac:dyDescent="0.55000000000000004">
      <c r="L954" s="4">
        <f t="shared" si="17"/>
        <v>0</v>
      </c>
      <c r="N954"/>
    </row>
    <row r="955" spans="12:14" x14ac:dyDescent="0.55000000000000004">
      <c r="L955" s="4">
        <f t="shared" si="17"/>
        <v>0</v>
      </c>
      <c r="N955"/>
    </row>
    <row r="956" spans="12:14" x14ac:dyDescent="0.55000000000000004">
      <c r="L956" s="4">
        <f t="shared" si="17"/>
        <v>0</v>
      </c>
      <c r="N956"/>
    </row>
    <row r="957" spans="12:14" x14ac:dyDescent="0.55000000000000004">
      <c r="L957" s="4">
        <f t="shared" si="17"/>
        <v>0</v>
      </c>
      <c r="N957"/>
    </row>
    <row r="958" spans="12:14" x14ac:dyDescent="0.55000000000000004">
      <c r="L958" s="4">
        <f t="shared" si="17"/>
        <v>0</v>
      </c>
      <c r="N958"/>
    </row>
    <row r="959" spans="12:14" x14ac:dyDescent="0.55000000000000004">
      <c r="L959" s="4">
        <f t="shared" si="17"/>
        <v>0</v>
      </c>
      <c r="N959"/>
    </row>
    <row r="960" spans="12:14" x14ac:dyDescent="0.55000000000000004">
      <c r="L960" s="4">
        <f t="shared" si="17"/>
        <v>0</v>
      </c>
      <c r="N960"/>
    </row>
    <row r="961" spans="12:14" x14ac:dyDescent="0.55000000000000004">
      <c r="L961" s="4">
        <f t="shared" si="17"/>
        <v>0</v>
      </c>
      <c r="N961"/>
    </row>
    <row r="962" spans="12:14" x14ac:dyDescent="0.55000000000000004">
      <c r="L962" s="4">
        <f t="shared" si="17"/>
        <v>0</v>
      </c>
      <c r="N962"/>
    </row>
    <row r="963" spans="12:14" x14ac:dyDescent="0.55000000000000004">
      <c r="L963" s="4">
        <f t="shared" si="17"/>
        <v>0</v>
      </c>
      <c r="N963"/>
    </row>
    <row r="964" spans="12:14" x14ac:dyDescent="0.55000000000000004">
      <c r="L964" s="4">
        <f t="shared" ref="L964:L1027" si="18">(A963-A964)</f>
        <v>0</v>
      </c>
      <c r="N964"/>
    </row>
    <row r="965" spans="12:14" x14ac:dyDescent="0.55000000000000004">
      <c r="L965" s="4">
        <f t="shared" si="18"/>
        <v>0</v>
      </c>
      <c r="N965"/>
    </row>
    <row r="966" spans="12:14" x14ac:dyDescent="0.55000000000000004">
      <c r="L966" s="4">
        <f t="shared" si="18"/>
        <v>0</v>
      </c>
      <c r="N966"/>
    </row>
    <row r="967" spans="12:14" x14ac:dyDescent="0.55000000000000004">
      <c r="L967" s="4">
        <f t="shared" si="18"/>
        <v>0</v>
      </c>
      <c r="N967"/>
    </row>
    <row r="968" spans="12:14" x14ac:dyDescent="0.55000000000000004">
      <c r="L968" s="4">
        <f t="shared" si="18"/>
        <v>0</v>
      </c>
      <c r="N968"/>
    </row>
    <row r="969" spans="12:14" x14ac:dyDescent="0.55000000000000004">
      <c r="L969" s="4">
        <f t="shared" si="18"/>
        <v>0</v>
      </c>
      <c r="N969"/>
    </row>
    <row r="970" spans="12:14" x14ac:dyDescent="0.55000000000000004">
      <c r="L970" s="4">
        <f t="shared" si="18"/>
        <v>0</v>
      </c>
      <c r="N970"/>
    </row>
    <row r="971" spans="12:14" x14ac:dyDescent="0.55000000000000004">
      <c r="L971" s="4">
        <f t="shared" si="18"/>
        <v>0</v>
      </c>
      <c r="N971"/>
    </row>
    <row r="972" spans="12:14" x14ac:dyDescent="0.55000000000000004">
      <c r="L972" s="4">
        <f t="shared" si="18"/>
        <v>0</v>
      </c>
      <c r="N972"/>
    </row>
    <row r="973" spans="12:14" x14ac:dyDescent="0.55000000000000004">
      <c r="L973" s="4">
        <f t="shared" si="18"/>
        <v>0</v>
      </c>
      <c r="N973"/>
    </row>
    <row r="974" spans="12:14" x14ac:dyDescent="0.55000000000000004">
      <c r="L974" s="4">
        <f t="shared" si="18"/>
        <v>0</v>
      </c>
      <c r="N974"/>
    </row>
    <row r="975" spans="12:14" x14ac:dyDescent="0.55000000000000004">
      <c r="L975" s="4">
        <f t="shared" si="18"/>
        <v>0</v>
      </c>
      <c r="N975"/>
    </row>
    <row r="976" spans="12:14" x14ac:dyDescent="0.55000000000000004">
      <c r="L976" s="4">
        <f t="shared" si="18"/>
        <v>0</v>
      </c>
      <c r="N976"/>
    </row>
    <row r="977" spans="12:14" x14ac:dyDescent="0.55000000000000004">
      <c r="L977" s="4">
        <f t="shared" si="18"/>
        <v>0</v>
      </c>
      <c r="N977"/>
    </row>
    <row r="978" spans="12:14" x14ac:dyDescent="0.55000000000000004">
      <c r="L978" s="4">
        <f t="shared" si="18"/>
        <v>0</v>
      </c>
      <c r="N978"/>
    </row>
    <row r="979" spans="12:14" x14ac:dyDescent="0.55000000000000004">
      <c r="L979" s="4">
        <f t="shared" si="18"/>
        <v>0</v>
      </c>
      <c r="N979"/>
    </row>
    <row r="980" spans="12:14" x14ac:dyDescent="0.55000000000000004">
      <c r="L980" s="4">
        <f t="shared" si="18"/>
        <v>0</v>
      </c>
      <c r="N980"/>
    </row>
    <row r="981" spans="12:14" x14ac:dyDescent="0.55000000000000004">
      <c r="L981" s="4">
        <f t="shared" si="18"/>
        <v>0</v>
      </c>
      <c r="N981"/>
    </row>
    <row r="982" spans="12:14" x14ac:dyDescent="0.55000000000000004">
      <c r="L982" s="4">
        <f t="shared" si="18"/>
        <v>0</v>
      </c>
      <c r="N982"/>
    </row>
    <row r="983" spans="12:14" x14ac:dyDescent="0.55000000000000004">
      <c r="L983" s="4">
        <f t="shared" si="18"/>
        <v>0</v>
      </c>
      <c r="N983"/>
    </row>
    <row r="984" spans="12:14" x14ac:dyDescent="0.55000000000000004">
      <c r="L984" s="4">
        <f t="shared" si="18"/>
        <v>0</v>
      </c>
      <c r="N984"/>
    </row>
    <row r="985" spans="12:14" x14ac:dyDescent="0.55000000000000004">
      <c r="L985" s="4">
        <f t="shared" si="18"/>
        <v>0</v>
      </c>
      <c r="N985"/>
    </row>
    <row r="986" spans="12:14" x14ac:dyDescent="0.55000000000000004">
      <c r="L986" s="4">
        <f t="shared" si="18"/>
        <v>0</v>
      </c>
      <c r="N986"/>
    </row>
    <row r="987" spans="12:14" x14ac:dyDescent="0.55000000000000004">
      <c r="L987" s="4">
        <f t="shared" si="18"/>
        <v>0</v>
      </c>
      <c r="N987"/>
    </row>
    <row r="988" spans="12:14" x14ac:dyDescent="0.55000000000000004">
      <c r="L988" s="4">
        <f t="shared" si="18"/>
        <v>0</v>
      </c>
      <c r="N988"/>
    </row>
    <row r="989" spans="12:14" x14ac:dyDescent="0.55000000000000004">
      <c r="L989" s="4">
        <f t="shared" si="18"/>
        <v>0</v>
      </c>
      <c r="N989"/>
    </row>
    <row r="990" spans="12:14" x14ac:dyDescent="0.55000000000000004">
      <c r="L990" s="4">
        <f t="shared" si="18"/>
        <v>0</v>
      </c>
      <c r="N990"/>
    </row>
    <row r="991" spans="12:14" x14ac:dyDescent="0.55000000000000004">
      <c r="L991" s="4">
        <f t="shared" si="18"/>
        <v>0</v>
      </c>
      <c r="N991"/>
    </row>
    <row r="992" spans="12:14" x14ac:dyDescent="0.55000000000000004">
      <c r="L992" s="4">
        <f t="shared" si="18"/>
        <v>0</v>
      </c>
      <c r="N992"/>
    </row>
    <row r="993" spans="12:14" x14ac:dyDescent="0.55000000000000004">
      <c r="L993" s="4">
        <f t="shared" si="18"/>
        <v>0</v>
      </c>
      <c r="N993"/>
    </row>
    <row r="994" spans="12:14" x14ac:dyDescent="0.55000000000000004">
      <c r="L994" s="4">
        <f t="shared" si="18"/>
        <v>0</v>
      </c>
      <c r="N994"/>
    </row>
    <row r="995" spans="12:14" x14ac:dyDescent="0.55000000000000004">
      <c r="L995" s="4">
        <f t="shared" si="18"/>
        <v>0</v>
      </c>
      <c r="N995"/>
    </row>
    <row r="996" spans="12:14" x14ac:dyDescent="0.55000000000000004">
      <c r="L996" s="4">
        <f t="shared" si="18"/>
        <v>0</v>
      </c>
      <c r="N996"/>
    </row>
    <row r="997" spans="12:14" x14ac:dyDescent="0.55000000000000004">
      <c r="L997" s="4">
        <f t="shared" si="18"/>
        <v>0</v>
      </c>
      <c r="N997"/>
    </row>
    <row r="998" spans="12:14" x14ac:dyDescent="0.55000000000000004">
      <c r="L998" s="4">
        <f t="shared" si="18"/>
        <v>0</v>
      </c>
      <c r="N998"/>
    </row>
    <row r="999" spans="12:14" x14ac:dyDescent="0.55000000000000004">
      <c r="L999" s="4">
        <f t="shared" si="18"/>
        <v>0</v>
      </c>
      <c r="N999"/>
    </row>
    <row r="1000" spans="12:14" x14ac:dyDescent="0.55000000000000004">
      <c r="L1000" s="4">
        <f t="shared" si="18"/>
        <v>0</v>
      </c>
      <c r="N1000"/>
    </row>
    <row r="1001" spans="12:14" x14ac:dyDescent="0.55000000000000004">
      <c r="L1001" s="4">
        <f t="shared" si="18"/>
        <v>0</v>
      </c>
      <c r="N1001"/>
    </row>
    <row r="1002" spans="12:14" x14ac:dyDescent="0.55000000000000004">
      <c r="L1002" s="4">
        <f t="shared" si="18"/>
        <v>0</v>
      </c>
      <c r="N1002"/>
    </row>
    <row r="1003" spans="12:14" x14ac:dyDescent="0.55000000000000004">
      <c r="L1003" s="4">
        <f t="shared" si="18"/>
        <v>0</v>
      </c>
      <c r="N1003"/>
    </row>
    <row r="1004" spans="12:14" x14ac:dyDescent="0.55000000000000004">
      <c r="L1004" s="4">
        <f t="shared" si="18"/>
        <v>0</v>
      </c>
      <c r="N1004"/>
    </row>
    <row r="1005" spans="12:14" x14ac:dyDescent="0.55000000000000004">
      <c r="L1005" s="4">
        <f t="shared" si="18"/>
        <v>0</v>
      </c>
      <c r="N1005"/>
    </row>
    <row r="1006" spans="12:14" x14ac:dyDescent="0.55000000000000004">
      <c r="L1006" s="4">
        <f t="shared" si="18"/>
        <v>0</v>
      </c>
      <c r="N1006"/>
    </row>
    <row r="1007" spans="12:14" x14ac:dyDescent="0.55000000000000004">
      <c r="L1007" s="4">
        <f t="shared" si="18"/>
        <v>0</v>
      </c>
      <c r="N1007"/>
    </row>
    <row r="1008" spans="12:14" x14ac:dyDescent="0.55000000000000004">
      <c r="L1008" s="4">
        <f t="shared" si="18"/>
        <v>0</v>
      </c>
      <c r="N1008"/>
    </row>
    <row r="1009" spans="12:14" x14ac:dyDescent="0.55000000000000004">
      <c r="L1009" s="4">
        <f t="shared" si="18"/>
        <v>0</v>
      </c>
      <c r="N1009"/>
    </row>
    <row r="1010" spans="12:14" x14ac:dyDescent="0.55000000000000004">
      <c r="L1010" s="4">
        <f t="shared" si="18"/>
        <v>0</v>
      </c>
      <c r="N1010"/>
    </row>
    <row r="1011" spans="12:14" x14ac:dyDescent="0.55000000000000004">
      <c r="L1011" s="4">
        <f t="shared" si="18"/>
        <v>0</v>
      </c>
      <c r="N1011"/>
    </row>
    <row r="1012" spans="12:14" x14ac:dyDescent="0.55000000000000004">
      <c r="L1012" s="4">
        <f t="shared" si="18"/>
        <v>0</v>
      </c>
      <c r="N1012"/>
    </row>
    <row r="1013" spans="12:14" x14ac:dyDescent="0.55000000000000004">
      <c r="L1013" s="4">
        <f t="shared" si="18"/>
        <v>0</v>
      </c>
      <c r="N1013"/>
    </row>
    <row r="1014" spans="12:14" x14ac:dyDescent="0.55000000000000004">
      <c r="L1014" s="4">
        <f t="shared" si="18"/>
        <v>0</v>
      </c>
      <c r="N1014"/>
    </row>
    <row r="1015" spans="12:14" x14ac:dyDescent="0.55000000000000004">
      <c r="L1015" s="4">
        <f t="shared" si="18"/>
        <v>0</v>
      </c>
      <c r="N1015"/>
    </row>
    <row r="1016" spans="12:14" x14ac:dyDescent="0.55000000000000004">
      <c r="L1016" s="4">
        <f t="shared" si="18"/>
        <v>0</v>
      </c>
      <c r="N1016"/>
    </row>
    <row r="1017" spans="12:14" x14ac:dyDescent="0.55000000000000004">
      <c r="L1017" s="4">
        <f t="shared" si="18"/>
        <v>0</v>
      </c>
      <c r="N1017"/>
    </row>
    <row r="1018" spans="12:14" x14ac:dyDescent="0.55000000000000004">
      <c r="L1018" s="4">
        <f t="shared" si="18"/>
        <v>0</v>
      </c>
      <c r="N1018"/>
    </row>
    <row r="1019" spans="12:14" x14ac:dyDescent="0.55000000000000004">
      <c r="L1019" s="4">
        <f t="shared" si="18"/>
        <v>0</v>
      </c>
      <c r="N1019"/>
    </row>
    <row r="1020" spans="12:14" x14ac:dyDescent="0.55000000000000004">
      <c r="L1020" s="4">
        <f t="shared" si="18"/>
        <v>0</v>
      </c>
      <c r="N1020"/>
    </row>
    <row r="1021" spans="12:14" x14ac:dyDescent="0.55000000000000004">
      <c r="L1021" s="4">
        <f t="shared" si="18"/>
        <v>0</v>
      </c>
      <c r="N1021"/>
    </row>
    <row r="1022" spans="12:14" x14ac:dyDescent="0.55000000000000004">
      <c r="L1022" s="4">
        <f t="shared" si="18"/>
        <v>0</v>
      </c>
      <c r="N1022"/>
    </row>
    <row r="1023" spans="12:14" x14ac:dyDescent="0.55000000000000004">
      <c r="L1023" s="4">
        <f t="shared" si="18"/>
        <v>0</v>
      </c>
      <c r="N1023"/>
    </row>
    <row r="1024" spans="12:14" x14ac:dyDescent="0.55000000000000004">
      <c r="L1024" s="4">
        <f t="shared" si="18"/>
        <v>0</v>
      </c>
      <c r="N1024"/>
    </row>
    <row r="1025" spans="12:14" x14ac:dyDescent="0.55000000000000004">
      <c r="L1025" s="4">
        <f t="shared" si="18"/>
        <v>0</v>
      </c>
      <c r="N1025"/>
    </row>
    <row r="1026" spans="12:14" x14ac:dyDescent="0.55000000000000004">
      <c r="L1026" s="4">
        <f t="shared" si="18"/>
        <v>0</v>
      </c>
      <c r="N1026"/>
    </row>
    <row r="1027" spans="12:14" x14ac:dyDescent="0.55000000000000004">
      <c r="L1027" s="4">
        <f t="shared" si="18"/>
        <v>0</v>
      </c>
      <c r="N1027"/>
    </row>
    <row r="1028" spans="12:14" x14ac:dyDescent="0.55000000000000004">
      <c r="L1028" s="4">
        <f t="shared" ref="L1028:L1076" si="19">(A1027-A1028)</f>
        <v>0</v>
      </c>
      <c r="N1028"/>
    </row>
    <row r="1029" spans="12:14" x14ac:dyDescent="0.55000000000000004">
      <c r="L1029" s="4">
        <f t="shared" si="19"/>
        <v>0</v>
      </c>
      <c r="N1029"/>
    </row>
    <row r="1030" spans="12:14" x14ac:dyDescent="0.55000000000000004">
      <c r="L1030" s="4">
        <f t="shared" si="19"/>
        <v>0</v>
      </c>
      <c r="N1030"/>
    </row>
    <row r="1031" spans="12:14" x14ac:dyDescent="0.55000000000000004">
      <c r="L1031" s="4">
        <f t="shared" si="19"/>
        <v>0</v>
      </c>
      <c r="N1031"/>
    </row>
    <row r="1032" spans="12:14" x14ac:dyDescent="0.55000000000000004">
      <c r="L1032" s="4">
        <f t="shared" si="19"/>
        <v>0</v>
      </c>
      <c r="N1032"/>
    </row>
    <row r="1033" spans="12:14" x14ac:dyDescent="0.55000000000000004">
      <c r="L1033" s="4">
        <f t="shared" si="19"/>
        <v>0</v>
      </c>
      <c r="N1033"/>
    </row>
    <row r="1034" spans="12:14" x14ac:dyDescent="0.55000000000000004">
      <c r="L1034" s="4">
        <f t="shared" si="19"/>
        <v>0</v>
      </c>
      <c r="N1034"/>
    </row>
    <row r="1035" spans="12:14" x14ac:dyDescent="0.55000000000000004">
      <c r="L1035" s="4">
        <f t="shared" si="19"/>
        <v>0</v>
      </c>
      <c r="N1035"/>
    </row>
    <row r="1036" spans="12:14" x14ac:dyDescent="0.55000000000000004">
      <c r="L1036" s="4">
        <f t="shared" si="19"/>
        <v>0</v>
      </c>
      <c r="N1036"/>
    </row>
    <row r="1037" spans="12:14" x14ac:dyDescent="0.55000000000000004">
      <c r="L1037" s="4">
        <f t="shared" si="19"/>
        <v>0</v>
      </c>
      <c r="N1037"/>
    </row>
    <row r="1038" spans="12:14" x14ac:dyDescent="0.55000000000000004">
      <c r="L1038" s="4">
        <f t="shared" si="19"/>
        <v>0</v>
      </c>
      <c r="N1038"/>
    </row>
    <row r="1039" spans="12:14" x14ac:dyDescent="0.55000000000000004">
      <c r="L1039" s="4">
        <f t="shared" si="19"/>
        <v>0</v>
      </c>
      <c r="N1039"/>
    </row>
    <row r="1040" spans="12:14" x14ac:dyDescent="0.55000000000000004">
      <c r="L1040" s="4">
        <f t="shared" si="19"/>
        <v>0</v>
      </c>
      <c r="N1040"/>
    </row>
    <row r="1041" spans="12:14" x14ac:dyDescent="0.55000000000000004">
      <c r="L1041" s="4">
        <f t="shared" si="19"/>
        <v>0</v>
      </c>
      <c r="N1041"/>
    </row>
    <row r="1042" spans="12:14" x14ac:dyDescent="0.55000000000000004">
      <c r="L1042" s="4">
        <f t="shared" si="19"/>
        <v>0</v>
      </c>
      <c r="N1042"/>
    </row>
    <row r="1043" spans="12:14" x14ac:dyDescent="0.55000000000000004">
      <c r="L1043" s="4">
        <f t="shared" si="19"/>
        <v>0</v>
      </c>
      <c r="N1043"/>
    </row>
    <row r="1044" spans="12:14" x14ac:dyDescent="0.55000000000000004">
      <c r="L1044" s="4">
        <f t="shared" si="19"/>
        <v>0</v>
      </c>
      <c r="N1044"/>
    </row>
    <row r="1045" spans="12:14" x14ac:dyDescent="0.55000000000000004">
      <c r="L1045" s="4">
        <f t="shared" si="19"/>
        <v>0</v>
      </c>
      <c r="N1045"/>
    </row>
    <row r="1046" spans="12:14" x14ac:dyDescent="0.55000000000000004">
      <c r="L1046" s="4">
        <f t="shared" si="19"/>
        <v>0</v>
      </c>
      <c r="N1046"/>
    </row>
    <row r="1047" spans="12:14" x14ac:dyDescent="0.55000000000000004">
      <c r="L1047" s="4">
        <f t="shared" si="19"/>
        <v>0</v>
      </c>
      <c r="N1047"/>
    </row>
    <row r="1048" spans="12:14" x14ac:dyDescent="0.55000000000000004">
      <c r="L1048" s="4">
        <f t="shared" si="19"/>
        <v>0</v>
      </c>
      <c r="N1048"/>
    </row>
    <row r="1049" spans="12:14" x14ac:dyDescent="0.55000000000000004">
      <c r="L1049" s="4">
        <f t="shared" si="19"/>
        <v>0</v>
      </c>
      <c r="N1049"/>
    </row>
    <row r="1050" spans="12:14" x14ac:dyDescent="0.55000000000000004">
      <c r="L1050" s="4">
        <f t="shared" si="19"/>
        <v>0</v>
      </c>
      <c r="N1050"/>
    </row>
    <row r="1051" spans="12:14" x14ac:dyDescent="0.55000000000000004">
      <c r="L1051" s="4">
        <f t="shared" si="19"/>
        <v>0</v>
      </c>
      <c r="N1051"/>
    </row>
    <row r="1052" spans="12:14" x14ac:dyDescent="0.55000000000000004">
      <c r="L1052" s="4">
        <f t="shared" si="19"/>
        <v>0</v>
      </c>
      <c r="N1052"/>
    </row>
    <row r="1053" spans="12:14" x14ac:dyDescent="0.55000000000000004">
      <c r="L1053" s="4">
        <f t="shared" si="19"/>
        <v>0</v>
      </c>
      <c r="N1053"/>
    </row>
    <row r="1054" spans="12:14" x14ac:dyDescent="0.55000000000000004">
      <c r="L1054" s="4">
        <f t="shared" si="19"/>
        <v>0</v>
      </c>
      <c r="N1054"/>
    </row>
    <row r="1055" spans="12:14" x14ac:dyDescent="0.55000000000000004">
      <c r="L1055" s="4">
        <f t="shared" si="19"/>
        <v>0</v>
      </c>
      <c r="N1055"/>
    </row>
    <row r="1056" spans="12:14" x14ac:dyDescent="0.55000000000000004">
      <c r="L1056" s="4">
        <f t="shared" si="19"/>
        <v>0</v>
      </c>
      <c r="N1056"/>
    </row>
    <row r="1057" spans="12:14" x14ac:dyDescent="0.55000000000000004">
      <c r="L1057" s="4">
        <f t="shared" si="19"/>
        <v>0</v>
      </c>
      <c r="N1057"/>
    </row>
    <row r="1058" spans="12:14" x14ac:dyDescent="0.55000000000000004">
      <c r="L1058" s="4">
        <f t="shared" si="19"/>
        <v>0</v>
      </c>
      <c r="N1058"/>
    </row>
    <row r="1059" spans="12:14" x14ac:dyDescent="0.55000000000000004">
      <c r="L1059" s="4">
        <f t="shared" si="19"/>
        <v>0</v>
      </c>
      <c r="N1059"/>
    </row>
    <row r="1060" spans="12:14" x14ac:dyDescent="0.55000000000000004">
      <c r="L1060" s="4">
        <f t="shared" si="19"/>
        <v>0</v>
      </c>
      <c r="N1060"/>
    </row>
    <row r="1061" spans="12:14" x14ac:dyDescent="0.55000000000000004">
      <c r="L1061" s="4">
        <f t="shared" si="19"/>
        <v>0</v>
      </c>
      <c r="N1061"/>
    </row>
    <row r="1062" spans="12:14" x14ac:dyDescent="0.55000000000000004">
      <c r="L1062" s="4">
        <f t="shared" si="19"/>
        <v>0</v>
      </c>
      <c r="N1062"/>
    </row>
    <row r="1063" spans="12:14" x14ac:dyDescent="0.55000000000000004">
      <c r="L1063" s="4">
        <f t="shared" si="19"/>
        <v>0</v>
      </c>
      <c r="N1063"/>
    </row>
    <row r="1064" spans="12:14" x14ac:dyDescent="0.55000000000000004">
      <c r="L1064" s="4">
        <f t="shared" si="19"/>
        <v>0</v>
      </c>
      <c r="N1064"/>
    </row>
    <row r="1065" spans="12:14" x14ac:dyDescent="0.55000000000000004">
      <c r="L1065" s="4">
        <f t="shared" si="19"/>
        <v>0</v>
      </c>
      <c r="N1065"/>
    </row>
    <row r="1066" spans="12:14" x14ac:dyDescent="0.55000000000000004">
      <c r="L1066" s="4">
        <f t="shared" si="19"/>
        <v>0</v>
      </c>
      <c r="N1066"/>
    </row>
    <row r="1067" spans="12:14" x14ac:dyDescent="0.55000000000000004">
      <c r="L1067" s="4">
        <f t="shared" si="19"/>
        <v>0</v>
      </c>
      <c r="N1067"/>
    </row>
    <row r="1068" spans="12:14" x14ac:dyDescent="0.55000000000000004">
      <c r="L1068" s="4">
        <f t="shared" si="19"/>
        <v>0</v>
      </c>
      <c r="N1068"/>
    </row>
    <row r="1069" spans="12:14" x14ac:dyDescent="0.55000000000000004">
      <c r="L1069" s="4">
        <f t="shared" si="19"/>
        <v>0</v>
      </c>
      <c r="N1069"/>
    </row>
    <row r="1070" spans="12:14" x14ac:dyDescent="0.55000000000000004">
      <c r="L1070" s="4">
        <f t="shared" si="19"/>
        <v>0</v>
      </c>
      <c r="N1070"/>
    </row>
    <row r="1071" spans="12:14" x14ac:dyDescent="0.55000000000000004">
      <c r="L1071" s="4">
        <f t="shared" si="19"/>
        <v>0</v>
      </c>
      <c r="N1071"/>
    </row>
    <row r="1072" spans="12:14" x14ac:dyDescent="0.55000000000000004">
      <c r="L1072" s="4">
        <f t="shared" si="19"/>
        <v>0</v>
      </c>
      <c r="N1072"/>
    </row>
    <row r="1073" spans="12:14" x14ac:dyDescent="0.55000000000000004">
      <c r="L1073" s="4">
        <f t="shared" si="19"/>
        <v>0</v>
      </c>
      <c r="N1073"/>
    </row>
    <row r="1074" spans="12:14" x14ac:dyDescent="0.55000000000000004">
      <c r="L1074" s="4">
        <f t="shared" si="19"/>
        <v>0</v>
      </c>
      <c r="N1074"/>
    </row>
    <row r="1075" spans="12:14" x14ac:dyDescent="0.55000000000000004">
      <c r="L1075" s="4">
        <f t="shared" si="19"/>
        <v>0</v>
      </c>
      <c r="N1075"/>
    </row>
    <row r="1076" spans="12:14" x14ac:dyDescent="0.55000000000000004">
      <c r="L1076" s="4">
        <f t="shared" si="19"/>
        <v>0</v>
      </c>
      <c r="N1076"/>
    </row>
  </sheetData>
  <conditionalFormatting sqref="M1:M501">
    <cfRule type="cellIs" dxfId="10" priority="1" operator="equal">
      <formula>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f8aa9b-8a23-4fa4-8aa0-357005205f1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21F9ED9E0B9A499E80104B9168E3FE" ma:contentTypeVersion="6" ma:contentTypeDescription="Criar um novo documento." ma:contentTypeScope="" ma:versionID="acf4a4f87df6fb0254ba266fe900f1bc">
  <xsd:schema xmlns:xsd="http://www.w3.org/2001/XMLSchema" xmlns:xs="http://www.w3.org/2001/XMLSchema" xmlns:p="http://schemas.microsoft.com/office/2006/metadata/properties" xmlns:ns3="03f8aa9b-8a23-4fa4-8aa0-357005205f1f" xmlns:ns4="8d038087-bff9-4005-9ef1-53208cad2a72" targetNamespace="http://schemas.microsoft.com/office/2006/metadata/properties" ma:root="true" ma:fieldsID="946696cf5208266ce62bfb98d7212036" ns3:_="" ns4:_="">
    <xsd:import namespace="03f8aa9b-8a23-4fa4-8aa0-357005205f1f"/>
    <xsd:import namespace="8d038087-bff9-4005-9ef1-53208cad2a7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8aa9b-8a23-4fa4-8aa0-357005205f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038087-bff9-4005-9ef1-53208cad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Sugestão de Partilh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662285-D50C-4DCB-8961-6F916EC1021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3F02FC7-6EB1-40ED-AEAB-8C6FCDF45B23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03f8aa9b-8a23-4fa4-8aa0-357005205f1f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8d038087-bff9-4005-9ef1-53208cad2a72"/>
  </ds:schemaRefs>
</ds:datastoreItem>
</file>

<file path=customXml/itemProps3.xml><?xml version="1.0" encoding="utf-8"?>
<ds:datastoreItem xmlns:ds="http://schemas.openxmlformats.org/officeDocument/2006/customXml" ds:itemID="{55A62664-BF84-49A9-948A-FB2929653A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f8aa9b-8a23-4fa4-8aa0-357005205f1f"/>
    <ds:schemaRef ds:uri="8d038087-bff9-4005-9ef1-53208cad2a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C0E1D90-12F8-47C5-9BB7-BEF74933D9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Document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Bischoff</dc:creator>
  <cp:lastModifiedBy>amlaf</cp:lastModifiedBy>
  <dcterms:created xsi:type="dcterms:W3CDTF">2023-03-03T22:15:38Z</dcterms:created>
  <dcterms:modified xsi:type="dcterms:W3CDTF">2023-05-11T08:24:00Z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0x0101008321F9ED9E0B9A499E80104B9168E3FE</vt:lpwstr>
  </property>
</Properties>
</file>